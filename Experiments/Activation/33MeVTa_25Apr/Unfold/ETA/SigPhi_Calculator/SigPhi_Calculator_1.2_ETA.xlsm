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ETA\SigPhi_Calculator\"/>
    </mc:Choice>
  </mc:AlternateContent>
  <bookViews>
    <workbookView xWindow="-15" yWindow="-15" windowWidth="14115" windowHeight="4365" tabRatio="575" firstSheet="2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SigPhi_Calculations!$AI$20</definedName>
    <definedName name="_xlnm.Print_Area" localSheetId="4">SigPhi_Calculations!$C$1:$AH$20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SigPhi_Calculations!$AI$21</definedName>
  </definedNames>
  <calcPr calcId="152511"/>
</workbook>
</file>

<file path=xl/calcChain.xml><?xml version="1.0" encoding="utf-8"?>
<calcChain xmlns="http://schemas.openxmlformats.org/spreadsheetml/2006/main">
  <c r="F17" i="1" l="1"/>
  <c r="F16" i="1"/>
  <c r="F15" i="1"/>
  <c r="F14" i="1"/>
  <c r="F13" i="1"/>
  <c r="F12" i="1"/>
  <c r="G17" i="1" l="1"/>
  <c r="G16" i="1"/>
  <c r="G15" i="1"/>
  <c r="G14" i="1"/>
  <c r="G13" i="1"/>
  <c r="AH17" i="1" l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AK14" i="1" s="1"/>
  <c r="O14" i="1" s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19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J17" i="1" l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19" i="1"/>
  <c r="AG19" i="1" s="1"/>
  <c r="AJ13" i="1"/>
  <c r="D13" i="1" s="1"/>
  <c r="AG13" i="1" s="1"/>
  <c r="C7" i="1"/>
  <c r="AK12" i="1"/>
  <c r="R14" i="1"/>
  <c r="R13" i="1"/>
  <c r="L14" i="1"/>
  <c r="X13" i="1"/>
  <c r="M13" i="1"/>
  <c r="L13" i="1"/>
  <c r="E5" i="1"/>
  <c r="E6" i="1"/>
  <c r="D5" i="1"/>
  <c r="D7" i="1" s="1"/>
  <c r="M14" i="1"/>
  <c r="X14" i="1"/>
  <c r="N14" i="1"/>
  <c r="P14" i="1" s="1"/>
  <c r="K14" i="1"/>
  <c r="O13" i="1"/>
  <c r="K13" i="1" s="1"/>
  <c r="N13" i="1"/>
  <c r="P13" i="1" s="1"/>
  <c r="AJ14" i="1"/>
  <c r="B9" i="3"/>
  <c r="D8" i="3"/>
  <c r="AI17" i="1" l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S14" i="1" s="1"/>
  <c r="AC14" i="1"/>
  <c r="Q13" i="1" a="1"/>
  <c r="Q13" i="1" s="1"/>
  <c r="S13" i="1" s="1"/>
  <c r="D9" i="3"/>
  <c r="C9" i="3"/>
  <c r="B10" i="3"/>
  <c r="AI14" i="1"/>
  <c r="T14" i="1" s="1"/>
  <c r="D14" i="1"/>
  <c r="AG14" i="1" s="1"/>
  <c r="AC17" i="1" l="1"/>
  <c r="S17" i="1"/>
  <c r="AC12" i="1"/>
  <c r="S12" i="1"/>
  <c r="AD13" i="1"/>
  <c r="AD14" i="1"/>
  <c r="B11" i="3"/>
  <c r="C10" i="3"/>
  <c r="D10" i="3"/>
  <c r="U17" i="1"/>
  <c r="AD17" i="1" l="1"/>
  <c r="V17" i="1"/>
  <c r="AI20" i="1" a="1"/>
  <c r="AI20" i="1" s="1"/>
  <c r="AJ20" i="1" a="1"/>
  <c r="AJ20" i="1" s="1"/>
  <c r="AJ18" i="1" a="1"/>
  <c r="AJ18" i="1" s="1"/>
  <c r="D11" i="3"/>
  <c r="C11" i="3"/>
  <c r="B12" i="3"/>
  <c r="AE17" i="1" l="1"/>
  <c r="AF17" i="1" s="1"/>
  <c r="AA17" i="1"/>
  <c r="AB17" i="1"/>
  <c r="C12" i="3"/>
  <c r="D12" i="3"/>
  <c r="B13" i="3"/>
  <c r="AJ19" i="1"/>
  <c r="D13" i="3" l="1"/>
  <c r="C13" i="3"/>
  <c r="B14" i="3"/>
  <c r="U14" i="1"/>
  <c r="U15" i="1"/>
  <c r="U16" i="1"/>
  <c r="U13" i="1"/>
  <c r="U12" i="1"/>
  <c r="V12" i="1" l="1"/>
  <c r="AE12" i="1" s="1"/>
  <c r="V15" i="1"/>
  <c r="AA15" i="1" s="1"/>
  <c r="V14" i="1"/>
  <c r="AE14" i="1" s="1"/>
  <c r="V16" i="1"/>
  <c r="AE16" i="1" s="1"/>
  <c r="V13" i="1"/>
  <c r="AF13" i="1" s="1"/>
  <c r="C14" i="3"/>
  <c r="D14" i="3"/>
  <c r="B15" i="3"/>
  <c r="AF14" i="1" l="1"/>
  <c r="AB13" i="1"/>
  <c r="AB14" i="1"/>
  <c r="AA14" i="1"/>
  <c r="AA12" i="1"/>
  <c r="AF12" i="1"/>
  <c r="AE13" i="1"/>
  <c r="AA13" i="1"/>
  <c r="AB12" i="1"/>
  <c r="AB16" i="1"/>
  <c r="AA16" i="1"/>
  <c r="AB15" i="1"/>
  <c r="AE15" i="1"/>
  <c r="AF15" i="1"/>
  <c r="AF16" i="1"/>
  <c r="C15" i="3"/>
  <c r="D15" i="3"/>
  <c r="B16" i="3"/>
  <c r="AI19" i="1" l="1" a="1"/>
  <c r="AI19" i="1" s="1"/>
  <c r="AI21" i="1" s="1"/>
  <c r="AF19" i="1" a="1"/>
  <c r="AF19" i="1" s="1"/>
  <c r="AA19" i="1" a="1"/>
  <c r="AA19" i="1" s="1"/>
  <c r="AB19" i="1" a="1"/>
  <c r="AB19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<sst xmlns="http://schemas.openxmlformats.org/spreadsheetml/2006/main" count="1251" uniqueCount="659">
  <si>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</si>
  <si>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</si>
  <si>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</si>
  <si>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</si>
  <si>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</si>
  <si>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</si>
  <si>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</si>
  <si>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</si>
  <si>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</si>
  <si>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</si>
  <si>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</si>
  <si>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</si>
  <si>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</si>
  <si>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</si>
  <si>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</si>
  <si>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</si>
  <si>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</si>
  <si>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</si>
  <si>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</si>
  <si>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</si>
  <si>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</si>
  <si>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</si>
  <si>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</si>
  <si>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</si>
  <si>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</si>
  <si>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</si>
  <si>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</si>
  <si>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</si>
  <si>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</si>
  <si>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</si>
  <si>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</si>
  <si>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</si>
  <si>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</si>
  <si>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</si>
  <si>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</si>
  <si>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</si>
  <si>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</si>
  <si>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</si>
  <si>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</si>
  <si>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</si>
  <si>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</si>
  <si>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</si>
  <si>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</si>
  <si>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</si>
  <si>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</si>
  <si>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</si>
  <si>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</si>
  <si>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</si>
  <si>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</si>
  <si>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</si>
  <si>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</si>
  <si>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</si>
  <si>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</si>
  <si>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</si>
  <si>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</si>
  <si>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</si>
  <si>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</si>
  <si>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</si>
  <si>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</si>
  <si>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</si>
  <si>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</si>
  <si>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</si>
  <si>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</si>
  <si>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</si>
  <si>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</si>
  <si>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</si>
  <si>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</si>
  <si>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</si>
  <si>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</si>
  <si>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</si>
  <si>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</si>
  <si>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</si>
  <si>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</si>
  <si>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</si>
  <si>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</si>
  <si>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</si>
  <si>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</si>
  <si>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</si>
  <si>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</si>
  <si>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</si>
  <si>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</si>
  <si>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</si>
  <si>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</si>
  <si>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</si>
  <si>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</si>
  <si>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</si>
  <si>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</si>
  <si>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</si>
  <si>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</si>
  <si>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</si>
  <si>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</si>
  <si>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</si>
  <si>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</si>
  <si>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</si>
  <si>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</si>
  <si>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</si>
  <si>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</si>
  <si>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</si>
  <si>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</si>
  <si>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</si>
  <si>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</si>
  <si>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</si>
  <si>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</si>
  <si>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</si>
  <si>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</si>
  <si>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</si>
  <si>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</si>
  <si>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</si>
  <si>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</si>
  <si>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</si>
  <si>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</si>
  <si>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</si>
  <si>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</si>
  <si>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</si>
  <si>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</si>
  <si>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</si>
  <si>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</si>
  <si>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</si>
  <si>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</si>
  <si>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</si>
  <si>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</si>
  <si>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</si>
  <si>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</si>
  <si>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</si>
  <si>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</si>
  <si>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</si>
  <si>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</si>
  <si>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</si>
  <si>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</si>
  <si>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</si>
  <si>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</si>
  <si>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</si>
  <si>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</si>
  <si>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</si>
  <si>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</si>
  <si>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</si>
  <si>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</si>
  <si>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</si>
  <si>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</si>
  <si>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</si>
  <si>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</si>
  <si>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</si>
  <si>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</si>
  <si>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</si>
  <si>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</si>
  <si>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</si>
  <si>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</si>
  <si>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</si>
  <si>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</si>
  <si>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</si>
  <si>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</si>
  <si>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</si>
  <si>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</si>
  <si>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</si>
  <si>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</si>
  <si>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</si>
  <si>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</si>
  <si>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</si>
  <si>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</si>
  <si>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</si>
  <si>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</si>
  <si>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</si>
  <si>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</si>
  <si>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</si>
  <si>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</si>
  <si>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</si>
  <si>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</si>
  <si>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</si>
  <si>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</si>
  <si>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</si>
  <si>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</si>
  <si>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</si>
  <si>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</si>
  <si>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</si>
  <si>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</si>
  <si>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</si>
  <si>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</si>
  <si>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</si>
  <si>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</si>
  <si>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</si>
  <si>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</si>
  <si>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</si>
  <si>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</si>
  <si>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</si>
  <si>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</si>
  <si>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</si>
  <si>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</si>
  <si>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</si>
  <si>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</si>
  <si>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</si>
  <si>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</si>
  <si>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</si>
  <si>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</si>
  <si>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</si>
  <si>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</si>
  <si>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</si>
  <si>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</si>
  <si>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</si>
  <si>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</si>
  <si>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</si>
  <si>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</si>
  <si>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</si>
  <si>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</si>
  <si>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</si>
  <si>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</si>
  <si>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</si>
  <si>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</si>
  <si>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</si>
  <si>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</si>
  <si>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</si>
  <si>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</si>
  <si>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</si>
  <si>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</si>
  <si>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</si>
  <si>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</si>
  <si>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</si>
  <si>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</si>
  <si>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</si>
  <si>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</si>
  <si>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</si>
  <si>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</si>
  <si>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</si>
  <si>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</si>
  <si>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</si>
  <si>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</si>
  <si>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</si>
  <si>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</si>
  <si>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</si>
  <si>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</si>
  <si>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</si>
  <si>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</si>
  <si>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</si>
  <si>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</si>
  <si>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</si>
  <si>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</si>
  <si>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</si>
  <si>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</si>
  <si>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</si>
  <si>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</si>
  <si>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</si>
  <si>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</si>
  <si>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</si>
  <si>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</si>
  <si>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</si>
  <si>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</si>
  <si>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</si>
  <si>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</si>
  <si>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</si>
  <si>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</si>
  <si>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</si>
  <si>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</si>
  <si>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</si>
  <si>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</si>
  <si>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</si>
  <si>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</si>
  <si>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</si>
  <si>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</si>
  <si>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</si>
  <si>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</si>
  <si>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</si>
  <si>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</si>
  <si>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</si>
  <si>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</si>
  <si>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</si>
  <si>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</si>
  <si>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</si>
  <si>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</si>
  <si>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</si>
  <si>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</si>
  <si>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</si>
  <si>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</si>
  <si>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</si>
  <si>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</si>
  <si>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</si>
  <si>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</si>
  <si>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</si>
  <si>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</si>
  <si>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</si>
  <si>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</si>
  <si>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</si>
  <si>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</si>
  <si>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</si>
  <si>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</si>
  <si>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</si>
  <si>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</si>
  <si>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</si>
  <si>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</si>
  <si>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</si>
  <si>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</si>
  <si>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</si>
  <si>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</si>
  <si>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</si>
  <si>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</si>
  <si>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</si>
  <si>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</si>
  <si>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</si>
  <si>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</si>
  <si>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</si>
  <si>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</si>
  <si>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</si>
  <si>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</si>
  <si>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</si>
  <si>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</si>
  <si>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</si>
  <si>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</si>
  <si>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</si>
  <si>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</si>
  <si>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</si>
  <si>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</si>
  <si>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</si>
  <si>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</si>
  <si>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</si>
  <si>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</si>
  <si>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</si>
  <si>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</si>
  <si>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</si>
  <si>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</si>
  <si>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</si>
  <si>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</si>
  <si>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</si>
  <si>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</si>
  <si>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</si>
  <si>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</si>
  <si>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</si>
  <si>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</si>
  <si>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</si>
  <si>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</si>
  <si>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</si>
  <si>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</si>
  <si>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</si>
  <si>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</si>
  <si>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</si>
  <si>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</si>
  <si>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</si>
  <si>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</si>
  <si>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</si>
  <si>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</si>
  <si>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</si>
  <si>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</si>
  <si>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</si>
  <si>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</si>
  <si>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</si>
  <si>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</si>
  <si>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</si>
  <si>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</si>
  <si>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</si>
  <si>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</si>
  <si>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</si>
  <si>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</si>
  <si>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</si>
  <si>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</si>
  <si>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</si>
  <si>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</si>
  <si>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</si>
  <si>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</si>
  <si>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</si>
  <si>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</si>
  <si>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</si>
  <si>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</si>
  <si>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</si>
  <si>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</si>
  <si>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</si>
  <si>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</si>
  <si>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</si>
  <si>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</si>
  <si>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</si>
  <si>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</si>
  <si>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</si>
  <si>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</si>
  <si>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</si>
  <si>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</si>
  <si>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</si>
  <si>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</si>
  <si>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</si>
  <si>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</si>
  <si>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</si>
  <si>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</si>
  <si>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</si>
  <si>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</si>
  <si>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</si>
  <si>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</si>
  <si>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</si>
  <si>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</si>
  <si>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</si>
  <si>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</si>
  <si>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</si>
  <si>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</si>
  <si>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</si>
  <si>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</si>
  <si>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</si>
  <si>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</si>
  <si>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</si>
  <si>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</si>
  <si>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</si>
  <si>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</si>
  <si>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</si>
  <si>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</si>
  <si>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</si>
  <si>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</si>
  <si>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</si>
  <si>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</si>
  <si>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</si>
  <si>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</si>
  <si>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</si>
  <si>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</si>
  <si>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</si>
  <si>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</si>
  <si>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</si>
  <si>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</si>
  <si>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</si>
  <si>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</si>
  <si>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</si>
  <si>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</si>
  <si>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</si>
  <si>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</si>
  <si>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</si>
  <si>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</si>
  <si>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</si>
  <si>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</si>
  <si>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</si>
  <si>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</si>
  <si>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</si>
  <si>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</si>
  <si>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</si>
  <si>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</si>
  <si>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</si>
  <si>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</si>
  <si>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</si>
  <si>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</si>
  <si>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</si>
  <si>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</si>
  <si>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</si>
  <si>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</si>
  <si>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</si>
  <si>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</si>
  <si>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</si>
  <si>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</si>
  <si>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</si>
  <si>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</si>
  <si>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</si>
  <si>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</si>
  <si>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</si>
  <si>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</si>
  <si>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</si>
  <si>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</si>
  <si>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</si>
  <si>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</si>
  <si>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</si>
  <si>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</si>
  <si>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</si>
  <si>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</si>
  <si>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</si>
  <si>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</si>
  <si>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</si>
  <si>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</si>
  <si>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</si>
  <si>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</si>
  <si>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</si>
  <si>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</si>
  <si>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</si>
  <si>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</si>
  <si>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</si>
  <si>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</si>
  <si>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</si>
  <si>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</si>
  <si>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</si>
  <si>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</si>
  <si>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</si>
  <si>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</si>
  <si>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</si>
  <si>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</si>
  <si>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</si>
  <si>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</si>
  <si>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</si>
  <si>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</si>
  <si>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</si>
  <si>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</si>
  <si>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</si>
  <si>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</si>
  <si>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</si>
  <si>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</si>
  <si>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</si>
  <si>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</si>
  <si>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</si>
  <si>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</si>
  <si>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</si>
  <si>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</si>
  <si>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</si>
  <si>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</si>
  <si>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</si>
  <si>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</si>
  <si>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</si>
  <si>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</si>
  <si>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</si>
  <si>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</si>
  <si>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</si>
  <si>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</si>
  <si>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</si>
  <si>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</si>
  <si>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</si>
  <si>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</si>
  <si>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</si>
  <si>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</si>
  <si>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</si>
  <si>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</si>
  <si>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</si>
  <si>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</si>
  <si>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</si>
  <si>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</si>
  <si>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</si>
  <si>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</si>
  <si>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</si>
  <si>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</si>
  <si>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</si>
  <si>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</si>
  <si>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</si>
  <si>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</si>
  <si>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</si>
  <si>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</si>
  <si>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</si>
  <si>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</si>
  <si>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</si>
  <si>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</si>
  <si>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</si>
  <si>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</si>
  <si>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</si>
  <si>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</si>
  <si>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</si>
  <si>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</si>
  <si>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</si>
  <si>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</si>
  <si>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</si>
  <si>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</si>
  <si>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</si>
  <si>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</si>
  <si>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</si>
  <si>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</si>
  <si>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</si>
  <si>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</si>
  <si>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</si>
  <si>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</si>
  <si>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</si>
  <si>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</si>
  <si>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</si>
  <si>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</si>
  <si>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</si>
  <si>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</si>
  <si>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</si>
  <si>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</si>
  <si>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</si>
  <si>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</si>
  <si>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</si>
  <si>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</si>
  <si>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</si>
  <si>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</si>
  <si>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</si>
  <si>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</si>
  <si>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</si>
  <si>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</si>
  <si>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</si>
  <si>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</si>
  <si>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</si>
  <si>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</si>
  <si>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</si>
  <si>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</si>
  <si>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</si>
  <si>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</si>
  <si>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</si>
  <si>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</si>
  <si>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</si>
  <si>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</si>
  <si>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</si>
  <si>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</si>
  <si>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</si>
  <si>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</si>
  <si>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</si>
  <si>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</si>
  <si>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</si>
  <si>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</si>
  <si>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</si>
  <si>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</si>
  <si>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</si>
  <si>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</si>
  <si>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</si>
  <si>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</si>
  <si>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</si>
  <si>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</si>
  <si>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</si>
  <si>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</si>
  <si>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</si>
  <si>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</si>
  <si>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</si>
  <si>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</si>
  <si>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</si>
  <si>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</si>
  <si>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</si>
  <si>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</si>
  <si>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</si>
  <si>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</si>
  <si>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</si>
  <si>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</si>
  <si>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</si>
  <si>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</si>
  <si>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</si>
  <si>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</si>
  <si>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</si>
  <si>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</si>
  <si>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</si>
  <si>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</si>
  <si>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</si>
  <si>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</si>
  <si>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</si>
  <si>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</si>
  <si>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</si>
  <si>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</si>
  <si>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</si>
  <si>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</si>
  <si>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</si>
  <si>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</si>
  <si>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</si>
  <si>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</si>
  <si>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</si>
  <si>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</si>
  <si>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</si>
  <si>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</si>
  <si>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</si>
  <si>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</si>
  <si>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</si>
  <si>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</si>
  <si>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</si>
  <si>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</si>
  <si>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</si>
  <si>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0 - Overall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</si>
  <si>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</si>
  <si>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</si>
  <si>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</si>
  <si>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</si>
  <si>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</si>
  <si>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</si>
  <si>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</si>
  <si>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</si>
  <si>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</si>
  <si>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</si>
  <si>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</si>
  <si>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</si>
  <si>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</si>
  <si>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</si>
  <si>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</si>
  <si>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</si>
  <si>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</si>
  <si>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</si>
  <si>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</si>
  <si>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</si>
  <si>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</si>
  <si>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</si>
  <si>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</si>
  <si>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Isotropic</t>
  </si>
  <si>
    <t>ETA</t>
  </si>
  <si>
    <t>2018-Jan-7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</si>
</sst>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27"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611472"/>
        <c:axId val="247611864"/>
      </c:scatterChart>
      <c:valAx>
        <c:axId val="247611472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7611864"/>
        <c:crosses val="autoZero"/>
        <c:crossBetween val="midCat"/>
        <c:majorUnit val="1"/>
        <c:minorUnit val="0.25"/>
      </c:valAx>
      <c:valAx>
        <c:axId val="247611864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7611472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0" activePane="bottomRight" state="frozenSplit"/>
      <selection pane="topRight" activeCell="D1" sqref="D1"/>
      <selection pane="bottomLeft" activeCell="A5" sqref="A5"/>
      <selection pane="bottomRight" activeCell="C62" sqref="C6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zoomScale="120" zoomScaleNormal="120" workbookViewId="0">
      <selection activeCell="D6" sqref="D6"/>
    </sheetView>
  </sheetViews>
  <sheetFormatPr defaultColWidth="8.7109375" defaultRowHeight="12.75" x14ac:dyDescent="0.2"/>
  <cols>
    <col min="1" max="1" width="8.7109375" style="115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633</v>
      </c>
      <c r="C3" s="116" t="s">
        <v>634</v>
      </c>
      <c r="D3" s="118">
        <v>0</v>
      </c>
      <c r="E3" s="115" t="s">
        <v>635</v>
      </c>
      <c r="F3" s="115" t="s">
        <v>634</v>
      </c>
      <c r="G3" s="118">
        <v>0</v>
      </c>
      <c r="H3" s="115" t="s">
        <v>412</v>
      </c>
    </row>
    <row r="4" spans="1:10" x14ac:dyDescent="0.2">
      <c r="B4" s="115" t="s">
        <v>636</v>
      </c>
      <c r="C4" s="116" t="s">
        <v>634</v>
      </c>
      <c r="D4" s="118">
        <v>0.81502300000000005</v>
      </c>
      <c r="E4" s="118" t="s">
        <v>635</v>
      </c>
      <c r="F4" s="115" t="s">
        <v>634</v>
      </c>
      <c r="G4" s="118">
        <v>70418</v>
      </c>
      <c r="H4" s="115" t="s">
        <v>412</v>
      </c>
    </row>
    <row r="5" spans="1:10" x14ac:dyDescent="0.2">
      <c r="B5" s="115" t="s">
        <v>637</v>
      </c>
      <c r="C5" s="116" t="s">
        <v>634</v>
      </c>
      <c r="D5" s="118">
        <v>8.7962099999999996E-6</v>
      </c>
      <c r="E5" s="115" t="s">
        <v>638</v>
      </c>
      <c r="F5" s="118" t="s">
        <v>634</v>
      </c>
      <c r="G5" s="118">
        <v>0.759992</v>
      </c>
      <c r="H5" s="115" t="s">
        <v>639</v>
      </c>
    </row>
    <row r="6" spans="1:10" x14ac:dyDescent="0.2">
      <c r="B6" s="115" t="s">
        <v>640</v>
      </c>
      <c r="C6" s="116" t="s">
        <v>634</v>
      </c>
      <c r="D6" s="118">
        <v>1.0792600000000001E-5</v>
      </c>
      <c r="E6" s="115" t="s">
        <v>641</v>
      </c>
      <c r="G6" s="118"/>
    </row>
    <row r="8" spans="1:10" x14ac:dyDescent="0.2">
      <c r="A8" s="116" t="s">
        <v>642</v>
      </c>
      <c r="B8" s="116" t="s">
        <v>643</v>
      </c>
      <c r="C8" s="116" t="s">
        <v>644</v>
      </c>
      <c r="D8" s="116" t="s">
        <v>645</v>
      </c>
      <c r="E8" s="116" t="s">
        <v>646</v>
      </c>
      <c r="F8" s="116" t="s">
        <v>647</v>
      </c>
      <c r="G8" s="116" t="s">
        <v>648</v>
      </c>
      <c r="H8" s="116" t="s">
        <v>649</v>
      </c>
    </row>
    <row r="9" spans="1:10" x14ac:dyDescent="0.2">
      <c r="A9" s="116" t="s">
        <v>650</v>
      </c>
      <c r="B9" s="116" t="s">
        <v>651</v>
      </c>
      <c r="C9" s="116" t="s">
        <v>652</v>
      </c>
      <c r="D9" s="116" t="s">
        <v>653</v>
      </c>
      <c r="E9" s="116" t="s">
        <v>654</v>
      </c>
      <c r="F9" s="119" t="s">
        <v>650</v>
      </c>
      <c r="G9" s="119" t="s">
        <v>650</v>
      </c>
      <c r="H9" s="116" t="s">
        <v>650</v>
      </c>
    </row>
    <row r="10" spans="1:10" x14ac:dyDescent="0.2">
      <c r="A10" s="115" t="s">
        <v>45</v>
      </c>
      <c r="B10" s="118" t="s">
        <v>655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9.8671999999999993E-6</v>
      </c>
      <c r="F11" s="118">
        <v>0.91425999999999996</v>
      </c>
      <c r="G11" s="118">
        <v>0.99939999999999996</v>
      </c>
      <c r="H11" s="115">
        <v>0.91500000000000004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6.4117000000000001E-9</v>
      </c>
      <c r="F12" s="118">
        <v>5.9407999999999998E-4</v>
      </c>
      <c r="G12" s="118">
        <v>5.9409000000000003E-4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6.3319000000000003E-6</v>
      </c>
      <c r="F13" s="118">
        <v>0.58669000000000004</v>
      </c>
      <c r="G13" s="118">
        <v>0.59621000000000002</v>
      </c>
      <c r="H13" s="115">
        <v>0.98399999999999999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8.7817999999999995E-6</v>
      </c>
      <c r="F14" s="118">
        <v>0.81367999999999996</v>
      </c>
      <c r="G14" s="118">
        <v>1</v>
      </c>
      <c r="H14" s="115">
        <v>0.81399999999999995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6.9094000000000003E-6</v>
      </c>
      <c r="F15" s="118">
        <v>0.64019999999999999</v>
      </c>
      <c r="G15" s="118">
        <v>1</v>
      </c>
      <c r="H15" s="115">
        <v>0.64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9.9718E-6</v>
      </c>
      <c r="F16" s="118">
        <v>0.92395000000000005</v>
      </c>
      <c r="G16" s="118">
        <v>0.99431999999999998</v>
      </c>
      <c r="H16" s="115">
        <v>0.92900000000000005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4.1885999999999998E-7</v>
      </c>
      <c r="F17" s="118">
        <v>3.8809999999999997E-2</v>
      </c>
      <c r="G17" s="118">
        <v>3.8837000000000003E-2</v>
      </c>
      <c r="H17" s="115">
        <v>0.999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7.2512999999999996E-8</v>
      </c>
      <c r="F18" s="118">
        <v>6.7187000000000002E-3</v>
      </c>
      <c r="G18" s="118">
        <v>6.7194999999999998E-3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9.9781000000000002E-6</v>
      </c>
      <c r="F19" s="118">
        <v>0.92452999999999996</v>
      </c>
      <c r="G19" s="118">
        <v>0.98775000000000002</v>
      </c>
      <c r="H19" s="115">
        <v>0.93600000000000005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1.6701999999999999E-6</v>
      </c>
      <c r="F20" s="118">
        <v>0.15476000000000001</v>
      </c>
      <c r="G20" s="118">
        <v>0.15522</v>
      </c>
      <c r="H20" s="115">
        <v>0.997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2.8646999999999999E-6</v>
      </c>
      <c r="F21" s="118">
        <v>0.26543</v>
      </c>
      <c r="G21" s="118">
        <v>0.26690000000000003</v>
      </c>
      <c r="H21" s="115">
        <v>0.995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2.1778000000000001E-7</v>
      </c>
      <c r="F22" s="118">
        <v>2.0178999999999999E-2</v>
      </c>
      <c r="G22" s="118">
        <v>2.0185999999999999E-2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9.9691999999999994E-6</v>
      </c>
      <c r="F23" s="118">
        <v>0.92371000000000003</v>
      </c>
      <c r="G23" s="118">
        <v>0.99478999999999995</v>
      </c>
      <c r="H23" s="115">
        <v>0.92900000000000005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1.9516000000000001E-8</v>
      </c>
      <c r="F24" s="118">
        <v>1.8083000000000001E-3</v>
      </c>
      <c r="G24" s="118">
        <v>1.8083000000000001E-3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8.7081000000000005E-6</v>
      </c>
      <c r="F25" s="118">
        <v>0.80686000000000002</v>
      </c>
      <c r="G25" s="118">
        <v>1</v>
      </c>
      <c r="H25" s="115">
        <v>0.80700000000000005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1.3612999999999999E-7</v>
      </c>
      <c r="F26" s="118">
        <v>1.2612999999999999E-2</v>
      </c>
      <c r="G26" s="118">
        <v>1.2616E-2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8.5689999999999995E-8</v>
      </c>
      <c r="F27" s="118">
        <v>7.9396999999999992E-3</v>
      </c>
      <c r="G27" s="118">
        <v>7.9407999999999996E-3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2.2413E-8</v>
      </c>
      <c r="F28" s="118">
        <v>2.0766999999999999E-3</v>
      </c>
      <c r="G28" s="118">
        <v>2.0768000000000002E-3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3.1664000000000001E-9</v>
      </c>
      <c r="F29" s="118">
        <v>2.9337999999999999E-4</v>
      </c>
      <c r="G29" s="118">
        <v>2.9337999999999999E-4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3.3952000000000001E-6</v>
      </c>
      <c r="F30" s="118">
        <v>0.31458999999999998</v>
      </c>
      <c r="G30" s="118">
        <v>0.31672</v>
      </c>
      <c r="H30" s="115">
        <v>0.99299999999999999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8.7964999999999996E-6</v>
      </c>
      <c r="F31" s="118">
        <v>0.81505000000000005</v>
      </c>
      <c r="G31" s="118">
        <v>1</v>
      </c>
      <c r="H31" s="115">
        <v>0.81499999999999995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6.9489999999999999E-6</v>
      </c>
      <c r="F32" s="118">
        <v>0.64387000000000005</v>
      </c>
      <c r="G32" s="118">
        <v>0.65615999999999997</v>
      </c>
      <c r="H32" s="115">
        <v>0.98099999999999998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2.1169E-6</v>
      </c>
      <c r="F33" s="118">
        <v>0.19614000000000001</v>
      </c>
      <c r="G33" s="118">
        <v>0.19691</v>
      </c>
      <c r="H33" s="115">
        <v>0.996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3.3752000000000002E-7</v>
      </c>
      <c r="F34" s="118">
        <v>3.1274000000000003E-2</v>
      </c>
      <c r="G34" s="118">
        <v>3.1290999999999999E-2</v>
      </c>
      <c r="H34" s="115">
        <v>0.999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5.7031000000000003E-8</v>
      </c>
      <c r="F35" s="118">
        <v>5.2842000000000002E-3</v>
      </c>
      <c r="G35" s="118">
        <v>5.2846999999999998E-3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1.7085E-6</v>
      </c>
      <c r="F36" s="118">
        <v>0.15831000000000001</v>
      </c>
      <c r="G36" s="118">
        <v>0.15878999999999999</v>
      </c>
      <c r="H36" s="115">
        <v>0.997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1.0348E-9</v>
      </c>
      <c r="F37" s="118">
        <v>9.5884999999999994E-5</v>
      </c>
      <c r="G37" s="118">
        <v>9.5884999999999994E-5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5.8370999999999998E-7</v>
      </c>
      <c r="F38" s="118">
        <v>5.4084E-2</v>
      </c>
      <c r="G38" s="118">
        <v>5.4137999999999999E-2</v>
      </c>
      <c r="H38" s="115">
        <v>0.999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8.2230999999999996E-13</v>
      </c>
      <c r="F39" s="118">
        <v>7.6191999999999998E-8</v>
      </c>
      <c r="G39" s="118">
        <v>7.6191999999999998E-8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9.6142000000000002E-6</v>
      </c>
      <c r="F40" s="118">
        <v>0.89081999999999995</v>
      </c>
      <c r="G40" s="118">
        <v>1</v>
      </c>
      <c r="H40" s="115">
        <v>0.89100000000000001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2.4383000000000001E-8</v>
      </c>
      <c r="F41" s="118">
        <v>2.2591999999999998E-3</v>
      </c>
      <c r="G41" s="118">
        <v>2.2593000000000001E-3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9.8306000000000004E-6</v>
      </c>
      <c r="F42" s="118">
        <v>0.91086</v>
      </c>
      <c r="G42" s="118">
        <v>0.99972000000000005</v>
      </c>
      <c r="H42" s="115">
        <v>0.91100000000000003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1.2242000000000001E-7</v>
      </c>
      <c r="F43" s="118">
        <v>1.1343000000000001E-2</v>
      </c>
      <c r="G43" s="118">
        <v>1.1346E-2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9.7687000000000002E-6</v>
      </c>
      <c r="F44" s="118">
        <v>0.90512999999999999</v>
      </c>
      <c r="G44" s="118">
        <v>0.95130999999999999</v>
      </c>
      <c r="H44" s="115">
        <v>0.95099999999999996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9.6015999999999997E-6</v>
      </c>
      <c r="F45" s="118">
        <v>0.88965000000000005</v>
      </c>
      <c r="G45" s="118">
        <v>1</v>
      </c>
      <c r="H45" s="115">
        <v>0.89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4.6104E-7</v>
      </c>
      <c r="F46" s="118">
        <v>4.2717999999999999E-2</v>
      </c>
      <c r="G46" s="118">
        <v>4.2750999999999997E-2</v>
      </c>
      <c r="H46" s="115">
        <v>0.999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3.0666E-6</v>
      </c>
      <c r="F47" s="118">
        <v>0.28414</v>
      </c>
      <c r="G47" s="118">
        <v>0.28583999999999998</v>
      </c>
      <c r="H47" s="115">
        <v>0.99399999999999999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7.6882000000000004E-6</v>
      </c>
      <c r="F48" s="118">
        <v>0.71235999999999999</v>
      </c>
      <c r="G48" s="118">
        <v>1</v>
      </c>
      <c r="H48" s="115">
        <v>0.71199999999999997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6.5284000000000004E-8</v>
      </c>
      <c r="F49" s="118">
        <v>6.0489999999999997E-3</v>
      </c>
      <c r="G49" s="118">
        <v>6.0495999999999996E-3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6.3873E-7</v>
      </c>
      <c r="F50" s="118">
        <v>5.9181999999999998E-2</v>
      </c>
      <c r="G50" s="118">
        <v>5.9246E-2</v>
      </c>
      <c r="H50" s="115">
        <v>0.999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5.3145999999999998E-8</v>
      </c>
      <c r="F51" s="118">
        <v>4.9243000000000004E-3</v>
      </c>
      <c r="G51" s="118">
        <v>4.9246999999999997E-3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4.6514000000000001E-6</v>
      </c>
      <c r="F52" s="118">
        <v>0.43097999999999997</v>
      </c>
      <c r="G52" s="118">
        <v>0.43537999999999999</v>
      </c>
      <c r="H52" s="115">
        <v>0.99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9.4322000000000005E-7</v>
      </c>
      <c r="F53" s="118">
        <v>8.7395E-2</v>
      </c>
      <c r="G53" s="118">
        <v>8.7536000000000003E-2</v>
      </c>
      <c r="H53" s="115">
        <v>0.998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2.0329999999999998E-6</v>
      </c>
      <c r="F54" s="118">
        <v>0.18837000000000001</v>
      </c>
      <c r="G54" s="118">
        <v>0.18906999999999999</v>
      </c>
      <c r="H54" s="115">
        <v>0.996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9.5078999999999992E-6</v>
      </c>
      <c r="F55" s="118">
        <v>0.88095999999999997</v>
      </c>
      <c r="G55" s="118">
        <v>1</v>
      </c>
      <c r="H55" s="115">
        <v>0.88100000000000001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9.6889999999999999E-6</v>
      </c>
      <c r="F56" s="118">
        <v>0.89775000000000005</v>
      </c>
      <c r="G56" s="118">
        <v>0.99999000000000005</v>
      </c>
      <c r="H56" s="115">
        <v>0.89800000000000002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5.0736999999999998E-10</v>
      </c>
      <c r="F57" s="118">
        <v>4.7011000000000001E-5</v>
      </c>
      <c r="G57" s="118">
        <v>4.7011000000000001E-5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9.4784999999999998E-8</v>
      </c>
      <c r="F58" s="118">
        <v>8.7825000000000004E-3</v>
      </c>
      <c r="G58" s="118">
        <v>8.7837999999999996E-3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9.2250000000000006E-6</v>
      </c>
      <c r="F59" s="118">
        <v>0.85475000000000001</v>
      </c>
      <c r="G59" s="118">
        <v>1</v>
      </c>
      <c r="H59" s="115">
        <v>0.85499999999999998</v>
      </c>
    </row>
    <row r="60" spans="1:8" x14ac:dyDescent="0.2">
      <c r="A60" s="115" t="s">
        <v>628</v>
      </c>
      <c r="B60" s="118" t="s">
        <v>655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8.6522000000000001E-7</v>
      </c>
      <c r="F61" s="118">
        <v>8.0168000000000003E-2</v>
      </c>
      <c r="G61" s="118">
        <v>8.0286999999999997E-2</v>
      </c>
      <c r="H61" s="115">
        <v>0.999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ht="11.25" customHeight="1" x14ac:dyDescent="0.2">
      <c r="B101" s="118"/>
      <c r="D101" s="118"/>
      <c r="E101" s="118"/>
      <c r="F101" s="118"/>
      <c r="G101" s="118"/>
    </row>
    <row r="102" spans="2:7" hidden="1" x14ac:dyDescent="0.2">
      <c r="B102" s="118"/>
      <c r="D102" s="118"/>
      <c r="E102" s="118"/>
      <c r="F102" s="118"/>
      <c r="G102" s="118"/>
    </row>
    <row r="103" spans="2:7" hidden="1" x14ac:dyDescent="0.2">
      <c r="B103" s="118"/>
      <c r="D103" s="118"/>
      <c r="E103" s="118"/>
      <c r="F103" s="118"/>
      <c r="G103" s="118"/>
    </row>
    <row r="104" spans="2:7" hidden="1" x14ac:dyDescent="0.2">
      <c r="B104" s="118"/>
      <c r="D104" s="118"/>
      <c r="E104" s="118"/>
      <c r="F104" s="118"/>
      <c r="G104" s="118"/>
    </row>
    <row r="105" spans="2:7" hidden="1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rMKD1zjLq5sRFAgwPP1//PagO312oObb2z7gOeMLyNhvrqQLzU70XwTMhqJwSShuQvGXddC1tC49OfIkOz1b+g==" saltValue="6Znk4bkSTo1C89Hw+I9GuQ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0"/>
  <sheetViews>
    <sheetView tabSelected="1" zoomScaleNormal="100" workbookViewId="0">
      <pane xSplit="4" ySplit="11" topLeftCell="T12" activePane="bottomRight" state="frozenSplit"/>
      <selection activeCell="A10" sqref="A10"/>
      <selection pane="topRight" activeCell="C10" sqref="C10"/>
      <selection pane="bottomLeft" activeCell="A4" sqref="A4"/>
      <selection pane="bottomRight" activeCell="C3" sqref="C3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657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ETA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658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2018-Jan-7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656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118">
        <v>1.0792600000000001E-5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8.7962099999999996E-6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1.0792600000000001E-5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632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0.81502233011507874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39">
        <v>171.51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COUNTA(C12:C18)</f>
        <v>6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ROWS(C12:C18)-1</f>
        <v>6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8" t="s">
        <v>147</v>
      </c>
      <c r="D12" s="155" t="s">
        <v>388</v>
      </c>
      <c r="E12" s="125">
        <v>1014.52</v>
      </c>
      <c r="F12" s="126">
        <f>397.5/5.284</f>
        <v>75.227100681302048</v>
      </c>
      <c r="G12" s="166">
        <v>0.02</v>
      </c>
      <c r="H12" s="125">
        <v>1</v>
      </c>
      <c r="I12" s="125" t="s">
        <v>33</v>
      </c>
      <c r="J12" s="125">
        <v>39.76</v>
      </c>
      <c r="K12" s="195">
        <f t="shared" ref="K12:K14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7" ca="1" si="2">IF($A12=0,INDEX(RxnData,$AK12,16),"")</f>
        <v>26.9815386</v>
      </c>
      <c r="M12" s="24">
        <f t="shared" ref="M12:M17" ca="1" si="3">IF($A12=0,INDEX(RxnData,$AK12,18),"")</f>
        <v>1</v>
      </c>
      <c r="N12" s="21" t="str">
        <f t="shared" ref="N12:N17" ca="1" si="4">IF($A12=0,INDEX(RxnData,$AK12,10),"")</f>
        <v>12-Mg-27</v>
      </c>
      <c r="O12" s="25">
        <f t="shared" ref="O12:O17" ca="1" si="5">IF($A12=0,INDEX(RxnData,$AK12,21),"")</f>
        <v>567.48</v>
      </c>
      <c r="P12" s="110">
        <f ca="1">IF($A12=0,IF($A$3=1,VLOOKUP(N12,BCF_output!$A$10:$H$209,6,FALSE),IF($A$3=2,1,IF(O12="--",1,(LN(2)*$D$7*$D$8)/(O12/86400)))),"")</f>
        <v>0.81367999999999996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0.99172639374496507</v>
      </c>
      <c r="R12" s="197">
        <f t="shared" ref="R12:R17" ca="1" si="6">IF($A12=0,1,"")</f>
        <v>1</v>
      </c>
      <c r="S12" s="51">
        <f t="shared" ref="S12:S17" ca="1" si="7">IF($F12="","",($F12*$D$8*OFFSET($L12,$A12,0)) / ($Q12*OFFSET($P12,$A12,0)*OFFSET($M12,$A12,0)*OFFSET($R12,$A12,0)*N_A*$H12*IF($AK12&lt;4,$D$7*86400,1)))</f>
        <v>4.1768083242023607E-21</v>
      </c>
      <c r="T12" s="52">
        <f t="shared" ref="T12:T17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0.17747144116215838</v>
      </c>
      <c r="U12" s="52">
        <f ca="1">IF($F12="",1,
IF((OFFSET($X12,$A12,0)="Yes")+($AK12=1)+($AK12=3),
NeutronBurnup($D$7*86400,IF(OFFSET($O12,$A12,0)="--","--",LN(2)*$D$8/OFFSET($O12,$A12,0)),(OFFSET($AK$19,ABS($A12),-1)/($D$7*86400))*1E-24*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7" ca="1" si="9">IF($F12="","",$S12 / IF($U12="",1,$U12))</f>
        <v>4.1768083242023607E-21</v>
      </c>
      <c r="X12" s="200" t="str">
        <f t="shared" ref="X12:X17" ca="1" si="10">IF($A12=0,INDEX(RxnData,$AK12,6),"")</f>
        <v>Yes</v>
      </c>
      <c r="Y12" s="201">
        <v>2.1899999999999999E-2</v>
      </c>
      <c r="Z12" s="201">
        <v>2.1899999999999999E-2</v>
      </c>
      <c r="AA12" s="53">
        <f t="shared" ref="AA12:AA17" ca="1" si="11">IF((OFFSET($X12,$A12,0)="No")+($F12="")+ISERROR($V12),"",$V12*($D$7*86400)*(1E+24/OFFSET($Y12,$A12,0)))</f>
        <v>13430237139.953615</v>
      </c>
      <c r="AB12" s="53">
        <f t="shared" ref="AB12:AB17" ca="1" si="12">IF((OFFSET($X12,$A12,0)="No")+($F12="")+ISERROR($V12),"",$V12*($D$7*86400)*(1E+24/OFFSET($Z12,$A12,0)))</f>
        <v>13430237139.953615</v>
      </c>
      <c r="AC12" s="202" t="str">
        <f t="shared" ref="AC12:AC17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0">
        <v>1</v>
      </c>
      <c r="AJ12" s="96">
        <f t="shared" ref="AJ12:AJ17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8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382.11/5.284</f>
        <v>72.314534443603335</v>
      </c>
      <c r="G13" s="166">
        <f>3.46/382.11</f>
        <v>9.0549841668629456E-3</v>
      </c>
      <c r="H13" s="125">
        <v>1</v>
      </c>
      <c r="I13" s="125" t="s">
        <v>33</v>
      </c>
      <c r="J13" s="125">
        <v>39.76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0.58669000000000004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0.99288091804005252</v>
      </c>
      <c r="R13" s="197">
        <f t="shared" ca="1" si="6"/>
        <v>1</v>
      </c>
      <c r="S13" s="51">
        <f t="shared" ca="1" si="7"/>
        <v>5.5620575641871436E-21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NeutronBurnup($D$7*86400,IF(OFFSET($O13,$A13,0)="--","--",LN(2)*$D$8/OFFSET($O13,$A13,0)),(OFFSET($AK$19,ABS($A13),-1)/($D$7*86400))*1E-24*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5.5620575641871436E-21</v>
      </c>
      <c r="X13" s="200" t="str">
        <f t="shared" ca="1" si="10"/>
        <v>Yes</v>
      </c>
      <c r="Y13" s="201">
        <v>2.4400000000000002E-2</v>
      </c>
      <c r="Z13" s="201">
        <v>2.4400000000000002E-2</v>
      </c>
      <c r="AA13" s="53">
        <f t="shared" ca="1" si="11"/>
        <v>16051990837.684738</v>
      </c>
      <c r="AB13" s="53">
        <f t="shared" ca="1" si="12"/>
        <v>16051990837.684738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8" t="s">
        <v>228</v>
      </c>
      <c r="D14" s="142" t="str">
        <f t="shared" ca="1" si="20"/>
        <v>a</v>
      </c>
      <c r="E14" s="125">
        <v>1377.63</v>
      </c>
      <c r="F14" s="126">
        <f>42/17.267</f>
        <v>2.4323854751838767</v>
      </c>
      <c r="G14" s="166">
        <f>0.52/42</f>
        <v>1.2380952380952381E-2</v>
      </c>
      <c r="H14" s="125">
        <v>1</v>
      </c>
      <c r="I14" s="125" t="s">
        <v>33</v>
      </c>
      <c r="J14" s="125">
        <v>39.49</v>
      </c>
      <c r="K14" s="195">
        <f t="shared" ca="1" si="1"/>
        <v>0.4657500652846458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0.31458999999999998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0.97700109852268002</v>
      </c>
      <c r="R14" s="197">
        <f t="shared" ca="1" si="6"/>
        <v>1</v>
      </c>
      <c r="S14" s="51">
        <f t="shared" ca="1" si="7"/>
        <v>1.1330027297851122E-21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NeutronBurnup($D$7*86400,IF(OFFSET($O14,$A14,0)="--","--",LN(2)*$D$8/OFFSET($O14,$A14,0)),(OFFSET($AK$19,ABS($A14),-1)/($D$7*86400))*1E-24*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1.1330027297851122E-21</v>
      </c>
      <c r="X14" s="200" t="str">
        <f t="shared" ca="1" si="10"/>
        <v>Yes</v>
      </c>
      <c r="Y14" s="201">
        <v>5.2500000000000003E-3</v>
      </c>
      <c r="Z14" s="201">
        <v>5.2500000000000003E-3</v>
      </c>
      <c r="AA14" s="53">
        <f t="shared" ca="1" si="11"/>
        <v>15196896409.062149</v>
      </c>
      <c r="AB14" s="53">
        <f t="shared" ca="1" si="12"/>
        <v>15196896409.062149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8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2778.4/14.47</f>
        <v>192.01105736005528</v>
      </c>
      <c r="G15" s="166">
        <f>20.1/2778.4</f>
        <v>7.234379498992226E-3</v>
      </c>
      <c r="H15" s="125">
        <v>1</v>
      </c>
      <c r="I15" s="125" t="s">
        <v>33</v>
      </c>
      <c r="J15" s="125">
        <v>40.39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0.90512999999999999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0.94892451524287491</v>
      </c>
      <c r="R15" s="197">
        <f t="shared" ca="1" si="6"/>
        <v>1</v>
      </c>
      <c r="S15" s="51">
        <f t="shared" ca="1" si="7"/>
        <v>4.4533343003295064E-20</v>
      </c>
      <c r="T15" s="52">
        <f t="shared" ca="1" si="8"/>
        <v>0.76458628687607033</v>
      </c>
      <c r="U15" s="52">
        <f ca="1">IF($F15="",1,
IF((OFFSET($X15,$A15,0)="Yes")+($AK15=1)+($AK15=3),
NeutronBurnup($D$7*86400,IF(OFFSET($O15,$A15,0)="--","--",LN(2)*$D$8/OFFSET($O15,$A15,0)),(OFFSET($AK$19,ABS($A15),-1)/($D$7*86400))*1E-24*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0.99999999999998934</v>
      </c>
      <c r="V15" s="51">
        <f t="shared" ca="1" si="9"/>
        <v>4.4533343003295539E-20</v>
      </c>
      <c r="X15" s="200" t="str">
        <f t="shared" ca="1" si="10"/>
        <v>Yes</v>
      </c>
      <c r="Y15" s="201">
        <v>0.12</v>
      </c>
      <c r="Z15" s="201">
        <v>0.113</v>
      </c>
      <c r="AA15" s="53">
        <f t="shared" ca="1" si="11"/>
        <v>26132881667.299179</v>
      </c>
      <c r="AB15" s="53">
        <f t="shared" ca="1" si="12"/>
        <v>27751732744.034523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8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88.197/3.542</f>
        <v>24.90033879164314</v>
      </c>
      <c r="G16" s="166">
        <f>1.14/88.197</f>
        <v>1.2925609714616142E-2</v>
      </c>
      <c r="H16" s="125">
        <v>1</v>
      </c>
      <c r="I16" s="125" t="s">
        <v>33</v>
      </c>
      <c r="J16" s="125">
        <v>3.94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8.7395E-2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0.97420239752486626</v>
      </c>
      <c r="R16" s="197">
        <f t="shared" ca="1" si="6"/>
        <v>1</v>
      </c>
      <c r="S16" s="51">
        <f t="shared" ca="1" si="7"/>
        <v>9.5655736216025181E-20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NeutronBurnup($D$7*86400,IF(OFFSET($O16,$A16,0)="--","--",LN(2)*$D$8/OFFSET($O16,$A16,0)),(OFFSET($AK$19,ABS($A16),-1)/($D$7*86400))*1E-24*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0.99999999999999489</v>
      </c>
      <c r="V16" s="51">
        <f t="shared" ca="1" si="9"/>
        <v>9.5655736216025675E-20</v>
      </c>
      <c r="X16" s="200" t="str">
        <f t="shared" ca="1" si="10"/>
        <v>Yes</v>
      </c>
      <c r="Y16" s="201">
        <v>0.38700000000000001</v>
      </c>
      <c r="Z16" s="201">
        <v>0.38700000000000001</v>
      </c>
      <c r="AA16" s="53">
        <f t="shared" ca="1" si="11"/>
        <v>17405371762.528423</v>
      </c>
      <c r="AB16" s="53">
        <f t="shared" ca="1" si="12"/>
        <v>17405371762.528423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8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148.57/3.542</f>
        <v>41.945228684359122</v>
      </c>
      <c r="G17" s="166">
        <f>2.14/148.57</f>
        <v>1.4403984653698595E-2</v>
      </c>
      <c r="H17" s="125">
        <v>1</v>
      </c>
      <c r="I17" s="125" t="s">
        <v>33</v>
      </c>
      <c r="J17" s="125">
        <v>3.94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0.18837000000000001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0.98016288175632182</v>
      </c>
      <c r="R17" s="197">
        <f t="shared" ca="1" si="6"/>
        <v>1</v>
      </c>
      <c r="S17" s="51">
        <f t="shared" ca="1" si="7"/>
        <v>7.4304329567279335E-20</v>
      </c>
      <c r="T17" s="52">
        <f t="shared" ca="1" si="8"/>
        <v>25.896520708492766</v>
      </c>
      <c r="U17" s="52">
        <f ca="1">IF($F17="",1,
IF((OFFSET($X17,$A17,0)="Yes")+($AK17=1)+($AK17=3),
NeutronBurnup($D$7*86400,IF(OFFSET($O17,$A17,0)="--","--",LN(2)*$D$8/OFFSET($O17,$A17,0)),(OFFSET($AK$19,ABS($A17),-1)/($D$7*86400))*1E-24*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0.99999999999993172</v>
      </c>
      <c r="V17" s="51">
        <f t="shared" ca="1" si="9"/>
        <v>7.4304329567284403E-20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2694.4194528875378</v>
      </c>
      <c r="AE17" s="112">
        <f ca="1">IF((OFFSET($X17,$A17,0)="Yes")+($F17="")+ISERROR($V17),"",IF(($U17&lt;=0.1)*(AK17&gt;3),"",$V17*($D$7*86400)*(1E+24/OFFSET($AC17,$A17,0))))</f>
        <v>53012735.843803227</v>
      </c>
      <c r="AF17" s="112">
        <f ca="1">IF((OFFSET($X17,$A17,0)="Yes")+($F17="")+ISERROR($V17),"",IF(($U17&lt;=0.1)*(AK17&gt;3),"",$AE17/$AD17))</f>
        <v>19675.012287708541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ht="6.95" customHeight="1" x14ac:dyDescent="0.2">
      <c r="A18" s="29" t="s">
        <v>27</v>
      </c>
      <c r="B18" s="30"/>
      <c r="C18" s="42"/>
      <c r="D18" s="41"/>
      <c r="E18" s="32"/>
      <c r="F18" s="192" t="s">
        <v>568</v>
      </c>
      <c r="G18" s="167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41"/>
      <c r="S18" s="32"/>
      <c r="T18" s="32"/>
      <c r="U18" s="32"/>
      <c r="V18" s="32"/>
      <c r="W18" s="20"/>
      <c r="X18" s="150"/>
      <c r="Y18" s="32"/>
      <c r="Z18" s="32"/>
      <c r="AA18" s="32"/>
      <c r="AB18" s="32"/>
      <c r="AC18" s="32"/>
      <c r="AD18" s="32"/>
      <c r="AE18" s="32"/>
      <c r="AF18" s="32"/>
      <c r="AG18" s="41"/>
      <c r="AH18" s="32"/>
      <c r="AI18" s="198" t="s">
        <v>377</v>
      </c>
      <c r="AJ18" s="199">
        <f t="array" aca="1" ref="AJ18" ca="1">SUM(IF(($X$12:$X$18="No")*($AK$12:$AK$18&gt;3),1,0))</f>
        <v>1</v>
      </c>
      <c r="AK18" s="108"/>
      <c r="AL18" s="108"/>
      <c r="AM18" s="108"/>
    </row>
    <row r="19" spans="1:39" x14ac:dyDescent="0.2">
      <c r="C19" s="54" t="s">
        <v>24</v>
      </c>
      <c r="D19" s="142" t="str">
        <f ca="1">IF(ROW()-ROW($C$18)&gt;$A$10/$A$9,"",IF(OFFSET($D$11,ROW()-ROW($C$18),0)="","",OFFSET($D$11,ROW()-ROW($C$18),0)))</f>
        <v>a</v>
      </c>
      <c r="E19" s="31"/>
      <c r="F19" s="31"/>
      <c r="G19" s="31"/>
      <c r="H19" s="31"/>
      <c r="I19" s="31"/>
      <c r="J19" s="31"/>
      <c r="K19" s="31"/>
      <c r="L19" s="31"/>
      <c r="M19" s="31"/>
      <c r="N19" s="33"/>
      <c r="O19" s="31"/>
      <c r="P19" s="31"/>
      <c r="Q19" s="31"/>
      <c r="R19" s="31"/>
      <c r="S19" s="31"/>
      <c r="T19" s="31"/>
      <c r="U19" s="31"/>
      <c r="V19" s="31"/>
      <c r="W19" s="20"/>
      <c r="X19" s="151"/>
      <c r="Y19" s="47"/>
      <c r="Z19" s="48" t="s">
        <v>25</v>
      </c>
      <c r="AA19" s="49" t="str">
        <f t="array" aca="1" ref="AA19" ca="1">IF(SUM(IF((AA$12:AA$18&lt;&gt;"")*($D$12:$D$18=$D19),1,0))&gt;0,IF($AJ$20&lt;1,"N/A",TEXT(AVERAGE(IF($D$12:$D$18=$D19,AA$12:AA$18,"")),"0.00E+00")) &amp; "  (" &amp; IF(($AJ$20&lt;2)+(SUM(IF(($D$12:$D$18=$D19)*(AA$12:AA$18&lt;&gt;""),1,0))&lt;2),"N/A)",TEXT(100*STDEV(IF($D$12:$D$18=$D19,AA$12:AA$18,""))/AVERAGE(IF($D$12:$D$18=$D19,AA$12:AA$18,"")),"0.00") &amp; "%)"),"")</f>
        <v>1.76E+10  (28.11%)</v>
      </c>
      <c r="AB19" s="49" t="str">
        <f t="array" aca="1" ref="AB19" ca="1">IF(SUM(IF((AB$12:AB$18&lt;&gt;"")*($D$12:$D$18=$D19),1,0))&gt;0,IF($AJ$20&lt;1,"N/A",TEXT(AVERAGE(IF($D$12:$D$18=$D19,AB$12:AB$18,"")),"0.00E+00")) &amp; "  (" &amp; IF(($AJ$20&lt;2)+(SUM(IF(($D$12:$D$18=$D19)*(AB$12:AB$18&lt;&gt;""),1,0))&lt;2),"N/A)",TEXT(100*STDEV(IF($D$12:$D$18=$D19,AB$12:AB$18,""))/AVERAGE(IF($D$12:$D$18=$D19,AB$12:AB$18,"")),"0.00") &amp; "%)"),"")</f>
        <v>1.80E+10  (31.48%)</v>
      </c>
      <c r="AC19" s="31"/>
      <c r="AD19" s="47"/>
      <c r="AE19" s="48" t="s">
        <v>25</v>
      </c>
      <c r="AF19" s="49" t="str">
        <f t="array" aca="1" ref="AF19" ca="1">IF(SUM(IF((AF$12:AF$18&lt;&gt;"")*($D$12:$D$18=$D19),1,0))&gt;0,IF($AI$20&lt;1,"N/A",TEXT(AVERAGE(IF($D$12:$D$18=$D19,AF$12:AF$18,"")),"0.00E+00")) &amp; "  (" &amp; IF(($AI$20&lt;2)+(SUM(IF(($D$12:$D$18=$D19)*(AF$12:AF$18&lt;&gt;""),1,0))&lt;2),"N/A)",TEXT(100*STDEV(IF($D$12:$D$18=$D19,AF$12:AF$18,""))/AVERAGE(IF($D$12:$D$18=$D19,AF$12:AF$18,"")),"0.00") &amp; "%)"),"")</f>
        <v>1.97E+04  (N/A)</v>
      </c>
      <c r="AG19" s="149" t="str">
        <f ca="1">IF(D19="","",D19)</f>
        <v>a</v>
      </c>
      <c r="AH19" s="44" t="str">
        <f>IF(C19="","",C19)</f>
        <v>Overall</v>
      </c>
      <c r="AI19" s="95" t="str">
        <f t="array" aca="1" ref="AI19" ca="1">IF($D19="","",IF(($AI$20&lt;2)+(SUM(IF(($D$12:$D$18=$D19)*(AF$12:AF$18&lt;&gt;""),1,0))&lt;2),"N/A",100*STDEV(IF($D$12:$D$18=$D19,AF$12:AF$18,""))/AVERAGE(IF($D$12:$D$18=$D19,AF$12:AF$18,""))))</f>
        <v>N/A</v>
      </c>
      <c r="AJ19" s="96">
        <f ca="1">AvgThemalFluence(D19)</f>
        <v>19675.012287708541</v>
      </c>
      <c r="AK19" s="108"/>
      <c r="AL19" s="108"/>
      <c r="AM19" s="108"/>
    </row>
    <row r="20" spans="1:39" ht="6.95" customHeight="1" x14ac:dyDescent="0.2">
      <c r="A20" s="29" t="s">
        <v>27</v>
      </c>
      <c r="B20" s="30"/>
      <c r="C20" s="122"/>
      <c r="D20" s="123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20"/>
      <c r="X20" s="150"/>
      <c r="Y20" s="32"/>
      <c r="Z20" s="32"/>
      <c r="AA20" s="32"/>
      <c r="AB20" s="32"/>
      <c r="AC20" s="32"/>
      <c r="AD20" s="32"/>
      <c r="AE20" s="32"/>
      <c r="AF20" s="32"/>
      <c r="AG20" s="41"/>
      <c r="AH20" s="32"/>
      <c r="AI20" s="140">
        <f t="array" aca="1" ref="AI20" ca="1">SUM(IF($X$12:$X$18="No",1,0))</f>
        <v>1</v>
      </c>
      <c r="AJ20" s="140">
        <f t="array" aca="1" ref="AJ20" ca="1">SUM(IF($X$12:$X$18="Yes",1,0))</f>
        <v>5</v>
      </c>
      <c r="AK20" s="108"/>
      <c r="AL20" s="108"/>
      <c r="AM20" s="108"/>
    </row>
    <row r="21" spans="1:39" x14ac:dyDescent="0.2"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95">
        <f ca="1">SUM(AI19:AI20) - AI20</f>
        <v>0</v>
      </c>
      <c r="AJ21" s="108"/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</sheetData>
  <sheetProtection algorithmName="SHA-512" hashValue="5/Osu73eI4nSI/4pdmSxVJkyJXO9toY677ebLDHipkb7zSE8VpfywhbWSv7FLoS+8AOGYzWaiL0aUV9098rPkw==" saltValue="Z1Hkv//lWHR2yEGe8+dteQ==" spinCount="100000" sheet="1" objects="1" scenarios="1" formatCells="0" formatColumns="0" formatRows="0"/>
  <dataConsolidate/>
  <conditionalFormatting sqref="AD12:AF14">
    <cfRule type="expression" dxfId="126" priority="221" stopIfTrue="1">
      <formula>IF(OFFSET($X12,$A12,0)="Yes",TRUE,FALSE)*IF((LEN($C12)&gt;0),TRUE,FALSE)</formula>
    </cfRule>
    <cfRule type="expression" dxfId="125" priority="222" stopIfTrue="1">
      <formula>IF(OFFSET($X12,$A12,0)="Yes",TRUE,FALSE)</formula>
    </cfRule>
    <cfRule type="expression" dxfId="124" priority="224" stopIfTrue="1">
      <formula>IF((LEN($C12)&gt;0),TRUE,FALSE)</formula>
    </cfRule>
  </conditionalFormatting>
  <conditionalFormatting sqref="AJ12:AK14">
    <cfRule type="expression" dxfId="123" priority="274" stopIfTrue="1">
      <formula>IF((LEN($C12)&gt;0),TRUE,FALSE)</formula>
    </cfRule>
  </conditionalFormatting>
  <conditionalFormatting sqref="C5:C6">
    <cfRule type="expression" dxfId="122" priority="177" stopIfTrue="1">
      <formula>$A$3&gt;1</formula>
    </cfRule>
  </conditionalFormatting>
  <conditionalFormatting sqref="C7:C8">
    <cfRule type="expression" dxfId="121" priority="178" stopIfTrue="1">
      <formula>$A$3&gt;1</formula>
    </cfRule>
  </conditionalFormatting>
  <conditionalFormatting sqref="AA7:AD7">
    <cfRule type="expression" dxfId="120" priority="184" stopIfTrue="1">
      <formula>NOT($A$6)</formula>
    </cfRule>
  </conditionalFormatting>
  <conditionalFormatting sqref="AI12:AI14">
    <cfRule type="expression" dxfId="119" priority="231" stopIfTrue="1">
      <formula>NOT($A$6)*(ROW()&lt;ROW(hEpiThermInd)+$A$10/$A$9+1)</formula>
    </cfRule>
    <cfRule type="expression" dxfId="118" priority="232" stopIfTrue="1">
      <formula>IF((LEN($C12)&gt;0),TRUE,FALSE)</formula>
    </cfRule>
  </conditionalFormatting>
  <conditionalFormatting sqref="T7:T8">
    <cfRule type="expression" dxfId="117" priority="183" stopIfTrue="1">
      <formula>IF(A6*(ETRatio=0)+(NOT(A6))*(SUM(IF(OFFSET($AI$11,1,0,$A$10/$A$9,1)=0,1,0))&gt;0),TRUE,FALSE)</formula>
    </cfRule>
  </conditionalFormatting>
  <conditionalFormatting sqref="AA12:AB14">
    <cfRule type="expression" dxfId="116" priority="212" stopIfTrue="1">
      <formula>IF(OFFSET($X12,$A12,0)="No",TRUE,FALSE)*IF((LEN($C12)&gt;0),TRUE,FALSE)</formula>
    </cfRule>
    <cfRule type="expression" dxfId="115" priority="213" stopIfTrue="1">
      <formula>IF(OFFSET($X12,$A12,0)="No",TRUE,FALSE)</formula>
    </cfRule>
    <cfRule type="expression" dxfId="114" priority="215" stopIfTrue="1">
      <formula>IF((LEN($C12)&gt;0),TRUE,FALSE)</formula>
    </cfRule>
  </conditionalFormatting>
  <conditionalFormatting sqref="U12:U14">
    <cfRule type="expression" dxfId="113" priority="195" stopIfTrue="1">
      <formula>IF((LEN($C12)&gt;0),TRUE,FALSE)*IF($U12&lt;=0.1,TRUE,FALSE)</formula>
    </cfRule>
    <cfRule type="cellIs" dxfId="112" priority="196" stopIfTrue="1" operator="lessThanOrEqual">
      <formula>0.1</formula>
    </cfRule>
    <cfRule type="expression" dxfId="111" priority="204" stopIfTrue="1">
      <formula>IF((LEN($C12)&gt;0),TRUE,FALSE)</formula>
    </cfRule>
  </conditionalFormatting>
  <conditionalFormatting sqref="D8">
    <cfRule type="expression" dxfId="110" priority="180" stopIfTrue="1">
      <formula>AND($D$8&lt;1,$D$8&lt;&gt;"")</formula>
    </cfRule>
    <cfRule type="expression" dxfId="109" priority="182" stopIfTrue="1">
      <formula>$A$3&gt;1</formula>
    </cfRule>
  </conditionalFormatting>
  <conditionalFormatting sqref="C4">
    <cfRule type="expression" dxfId="108" priority="175" stopIfTrue="1">
      <formula>$A$3&gt;1</formula>
    </cfRule>
  </conditionalFormatting>
  <conditionalFormatting sqref="E4">
    <cfRule type="expression" dxfId="107" priority="179" stopIfTrue="1">
      <formula>$A$3&gt;1</formula>
    </cfRule>
  </conditionalFormatting>
  <conditionalFormatting sqref="K12:K14">
    <cfRule type="expression" dxfId="106" priority="192" stopIfTrue="1">
      <formula>IF(LEN($C12)=0,TRUE,FALSE)</formula>
    </cfRule>
    <cfRule type="expression" dxfId="105" priority="193" stopIfTrue="1">
      <formula>IF($H12=1,FALSE,IF((LEN($C12)&gt;0)*($H12&lt;&gt;""),TRUE,FALSE))</formula>
    </cfRule>
    <cfRule type="expression" dxfId="104" priority="194" stopIfTrue="1">
      <formula>IF((LEN($C12)&gt;0),TRUE,FALSE)</formula>
    </cfRule>
  </conditionalFormatting>
  <conditionalFormatting sqref="F12:F14">
    <cfRule type="expression" dxfId="103" priority="189" stopIfTrue="1">
      <formula>IF((LEN($C12)&gt;0),TRUE,FALSE)*IF((OFFSET($C12,$A12,0)="LI6(N,A)T")+(OFFSET($C12,$A12,0)="B10(N,A)LI7"),TRUE,FALSE)</formula>
    </cfRule>
    <cfRule type="expression" dxfId="102" priority="190" stopIfTrue="1">
      <formula>IF((OFFSET($C12,$A12,0)="LI6(N,A)T")+(OFFSET($C12,$A12,0)="B10(N,A)LI7"),TRUE,FALSE)</formula>
    </cfRule>
    <cfRule type="expression" dxfId="101" priority="191" stopIfTrue="1">
      <formula>IF((LEN($C12)&gt;0),TRUE,FALSE)</formula>
    </cfRule>
  </conditionalFormatting>
  <conditionalFormatting sqref="AA8:AD8">
    <cfRule type="expression" dxfId="100" priority="185" stopIfTrue="1">
      <formula>$AJ$18&gt;0</formula>
    </cfRule>
  </conditionalFormatting>
  <conditionalFormatting sqref="D7">
    <cfRule type="expression" dxfId="99" priority="181" stopIfTrue="1">
      <formula>$A$3&gt;1</formula>
    </cfRule>
  </conditionalFormatting>
  <conditionalFormatting sqref="C12:D14 G12:J12 S12:T14 V12:V14 Q12:Q14 AG12:AH14 G13:H14 J13:J14 I13:I17">
    <cfRule type="expression" dxfId="98" priority="186" stopIfTrue="1">
      <formula>IF((LEN($C12)&gt;0),TRUE,FALSE)</formula>
    </cfRule>
  </conditionalFormatting>
  <conditionalFormatting sqref="AC12:AC14">
    <cfRule type="expression" dxfId="97" priority="217" stopIfTrue="1">
      <formula>IF(OFFSET($X12,$A12,0)="Yes",TRUE,FALSE)*IF((LEN($C12)&gt;0),TRUE,FALSE)</formula>
    </cfRule>
    <cfRule type="expression" dxfId="96" priority="218" stopIfTrue="1">
      <formula>IF(OFFSET($X12,$A12,0)="Yes",TRUE,FALSE)+IF(LEN($C12)=0,TRUE,FALSE)</formula>
    </cfRule>
    <cfRule type="expression" dxfId="95" priority="219" stopIfTrue="1">
      <formula>IF((LEN($C12)&gt;0),TRUE,FALSE)</formula>
    </cfRule>
  </conditionalFormatting>
  <conditionalFormatting sqref="E12:E14 L12:P14 R12:R14 X12:X14">
    <cfRule type="expression" dxfId="91" priority="187" stopIfTrue="1">
      <formula>IF(LEN($C12)=0,TRUE,FALSE)</formula>
    </cfRule>
    <cfRule type="expression" dxfId="90" priority="188" stopIfTrue="1">
      <formula>IF((LEN($C12)&gt;0),TRUE,FALSE)</formula>
    </cfRule>
  </conditionalFormatting>
  <conditionalFormatting sqref="AD15:AF15">
    <cfRule type="expression" dxfId="89" priority="169" stopIfTrue="1">
      <formula>IF(OFFSET($X15,$A15,0)="Yes",TRUE,FALSE)*IF((LEN($C15)&gt;0),TRUE,FALSE)</formula>
    </cfRule>
    <cfRule type="expression" dxfId="88" priority="170" stopIfTrue="1">
      <formula>IF(OFFSET($X15,$A15,0)="Yes",TRUE,FALSE)</formula>
    </cfRule>
    <cfRule type="expression" dxfId="87" priority="171" stopIfTrue="1">
      <formula>IF((LEN($C15)&gt;0),TRUE,FALSE)</formula>
    </cfRule>
  </conditionalFormatting>
  <conditionalFormatting sqref="AJ15:AK15">
    <cfRule type="expression" dxfId="86" priority="174" stopIfTrue="1">
      <formula>IF((LEN($C15)&gt;0),TRUE,FALSE)</formula>
    </cfRule>
  </conditionalFormatting>
  <conditionalFormatting sqref="AI15">
    <cfRule type="expression" dxfId="85" priority="172" stopIfTrue="1">
      <formula>NOT($A$6)*(ROW()&lt;ROW(hEpiThermInd)+$A$10/$A$9+1)</formula>
    </cfRule>
    <cfRule type="expression" dxfId="84" priority="173" stopIfTrue="1">
      <formula>IF((LEN($C15)&gt;0),TRUE,FALSE)</formula>
    </cfRule>
  </conditionalFormatting>
  <conditionalFormatting sqref="AA15:AB15">
    <cfRule type="expression" dxfId="83" priority="163" stopIfTrue="1">
      <formula>IF(OFFSET($X15,$A15,0)="No",TRUE,FALSE)*IF((LEN($C15)&gt;0),TRUE,FALSE)</formula>
    </cfRule>
    <cfRule type="expression" dxfId="82" priority="164" stopIfTrue="1">
      <formula>IF(OFFSET($X15,$A15,0)="No",TRUE,FALSE)</formula>
    </cfRule>
    <cfRule type="expression" dxfId="81" priority="165" stopIfTrue="1">
      <formula>IF((LEN($C15)&gt;0),TRUE,FALSE)</formula>
    </cfRule>
  </conditionalFormatting>
  <conditionalFormatting sqref="U15">
    <cfRule type="expression" dxfId="80" priority="157" stopIfTrue="1">
      <formula>IF((LEN($C15)&gt;0),TRUE,FALSE)*IF($U15&lt;=0.1,TRUE,FALSE)</formula>
    </cfRule>
    <cfRule type="cellIs" dxfId="79" priority="158" stopIfTrue="1" operator="lessThanOrEqual">
      <formula>0.1</formula>
    </cfRule>
    <cfRule type="expression" dxfId="78" priority="159" stopIfTrue="1">
      <formula>IF((LEN($C15)&gt;0),TRUE,FALSE)</formula>
    </cfRule>
  </conditionalFormatting>
  <conditionalFormatting sqref="K15">
    <cfRule type="expression" dxfId="77" priority="154" stopIfTrue="1">
      <formula>IF(LEN($C15)=0,TRUE,FALSE)</formula>
    </cfRule>
    <cfRule type="expression" dxfId="76" priority="155" stopIfTrue="1">
      <formula>IF($H15=1,FALSE,IF((LEN($C15)&gt;0)*($H15&lt;&gt;""),TRUE,FALSE))</formula>
    </cfRule>
    <cfRule type="expression" dxfId="75" priority="156" stopIfTrue="1">
      <formula>IF((LEN($C15)&gt;0),TRUE,FALSE)</formula>
    </cfRule>
  </conditionalFormatting>
  <conditionalFormatting sqref="F15">
    <cfRule type="expression" dxfId="74" priority="151" stopIfTrue="1">
      <formula>IF((LEN($C15)&gt;0),TRUE,FALSE)*IF((OFFSET($C15,$A15,0)="LI6(N,A)T")+(OFFSET($C15,$A15,0)="B10(N,A)LI7"),TRUE,FALSE)</formula>
    </cfRule>
    <cfRule type="expression" dxfId="73" priority="152" stopIfTrue="1">
      <formula>IF((OFFSET($C15,$A15,0)="LI6(N,A)T")+(OFFSET($C15,$A15,0)="B10(N,A)LI7"),TRUE,FALSE)</formula>
    </cfRule>
    <cfRule type="expression" dxfId="72" priority="153" stopIfTrue="1">
      <formula>IF((LEN($C15)&gt;0),TRUE,FALSE)</formula>
    </cfRule>
  </conditionalFormatting>
  <conditionalFormatting sqref="C15:D15 G15:H15 S15:T15 V15 Q15 AG15:AH15 J15">
    <cfRule type="expression" dxfId="71" priority="148" stopIfTrue="1">
      <formula>IF((LEN($C15)&gt;0),TRUE,FALSE)</formula>
    </cfRule>
  </conditionalFormatting>
  <conditionalFormatting sqref="AC15">
    <cfRule type="expression" dxfId="70" priority="166" stopIfTrue="1">
      <formula>IF(OFFSET($X15,$A15,0)="Yes",TRUE,FALSE)*IF((LEN($C15)&gt;0),TRUE,FALSE)</formula>
    </cfRule>
    <cfRule type="expression" dxfId="69" priority="167" stopIfTrue="1">
      <formula>IF(OFFSET($X15,$A15,0)="Yes",TRUE,FALSE)+IF(LEN($C15)=0,TRUE,FALSE)</formula>
    </cfRule>
    <cfRule type="expression" dxfId="68" priority="168" stopIfTrue="1">
      <formula>IF((LEN($C15)&gt;0),TRUE,FALSE)</formula>
    </cfRule>
  </conditionalFormatting>
  <conditionalFormatting sqref="E15 L15:P15 R15 X15">
    <cfRule type="expression" dxfId="64" priority="149" stopIfTrue="1">
      <formula>IF(LEN($C15)=0,TRUE,FALSE)</formula>
    </cfRule>
    <cfRule type="expression" dxfId="63" priority="150" stopIfTrue="1">
      <formula>IF((LEN($C15)&gt;0),TRUE,FALSE)</formula>
    </cfRule>
  </conditionalFormatting>
  <conditionalFormatting sqref="AD16:AF16">
    <cfRule type="expression" dxfId="62" priority="142" stopIfTrue="1">
      <formula>IF(OFFSET($X16,$A16,0)="Yes",TRUE,FALSE)*IF((LEN($C16)&gt;0),TRUE,FALSE)</formula>
    </cfRule>
    <cfRule type="expression" dxfId="61" priority="143" stopIfTrue="1">
      <formula>IF(OFFSET($X16,$A16,0)="Yes",TRUE,FALSE)</formula>
    </cfRule>
    <cfRule type="expression" dxfId="60" priority="144" stopIfTrue="1">
      <formula>IF((LEN($C16)&gt;0),TRUE,FALSE)</formula>
    </cfRule>
  </conditionalFormatting>
  <conditionalFormatting sqref="AJ16:AK16">
    <cfRule type="expression" dxfId="59" priority="147" stopIfTrue="1">
      <formula>IF((LEN($C16)&gt;0),TRUE,FALSE)</formula>
    </cfRule>
  </conditionalFormatting>
  <conditionalFormatting sqref="AI16">
    <cfRule type="expression" dxfId="58" priority="145" stopIfTrue="1">
      <formula>NOT($A$6)*(ROW()&lt;ROW(hEpiThermInd)+$A$10/$A$9+1)</formula>
    </cfRule>
    <cfRule type="expression" dxfId="57" priority="146" stopIfTrue="1">
      <formula>IF((LEN($C16)&gt;0),TRUE,FALSE)</formula>
    </cfRule>
  </conditionalFormatting>
  <conditionalFormatting sqref="AA16:AB16">
    <cfRule type="expression" dxfId="56" priority="136" stopIfTrue="1">
      <formula>IF(OFFSET($X16,$A16,0)="No",TRUE,FALSE)*IF((LEN($C16)&gt;0),TRUE,FALSE)</formula>
    </cfRule>
    <cfRule type="expression" dxfId="55" priority="137" stopIfTrue="1">
      <formula>IF(OFFSET($X16,$A16,0)="No",TRUE,FALSE)</formula>
    </cfRule>
    <cfRule type="expression" dxfId="54" priority="138" stopIfTrue="1">
      <formula>IF((LEN($C16)&gt;0),TRUE,FALSE)</formula>
    </cfRule>
  </conditionalFormatting>
  <conditionalFormatting sqref="U16">
    <cfRule type="expression" dxfId="53" priority="130" stopIfTrue="1">
      <formula>IF((LEN($C16)&gt;0),TRUE,FALSE)*IF($U16&lt;=0.1,TRUE,FALSE)</formula>
    </cfRule>
    <cfRule type="cellIs" dxfId="52" priority="131" stopIfTrue="1" operator="lessThanOrEqual">
      <formula>0.1</formula>
    </cfRule>
    <cfRule type="expression" dxfId="51" priority="132" stopIfTrue="1">
      <formula>IF((LEN($C16)&gt;0),TRUE,FALSE)</formula>
    </cfRule>
  </conditionalFormatting>
  <conditionalFormatting sqref="K16">
    <cfRule type="expression" dxfId="50" priority="127" stopIfTrue="1">
      <formula>IF(LEN($C16)=0,TRUE,FALSE)</formula>
    </cfRule>
    <cfRule type="expression" dxfId="49" priority="128" stopIfTrue="1">
      <formula>IF($H16=1,FALSE,IF((LEN($C16)&gt;0)*($H16&lt;&gt;""),TRUE,FALSE))</formula>
    </cfRule>
    <cfRule type="expression" dxfId="48" priority="129" stopIfTrue="1">
      <formula>IF((LEN($C16)&gt;0),TRUE,FALSE)</formula>
    </cfRule>
  </conditionalFormatting>
  <conditionalFormatting sqref="F16">
    <cfRule type="expression" dxfId="47" priority="124" stopIfTrue="1">
      <formula>IF((LEN($C16)&gt;0),TRUE,FALSE)*IF((OFFSET($C16,$A16,0)="LI6(N,A)T")+(OFFSET($C16,$A16,0)="B10(N,A)LI7"),TRUE,FALSE)</formula>
    </cfRule>
    <cfRule type="expression" dxfId="46" priority="125" stopIfTrue="1">
      <formula>IF((OFFSET($C16,$A16,0)="LI6(N,A)T")+(OFFSET($C16,$A16,0)="B10(N,A)LI7"),TRUE,FALSE)</formula>
    </cfRule>
    <cfRule type="expression" dxfId="45" priority="126" stopIfTrue="1">
      <formula>IF((LEN($C16)&gt;0),TRUE,FALSE)</formula>
    </cfRule>
  </conditionalFormatting>
  <conditionalFormatting sqref="C16:D16 G16:H16 S16:T16 V16 Q16 AG16:AH16 J16">
    <cfRule type="expression" dxfId="44" priority="121" stopIfTrue="1">
      <formula>IF((LEN($C16)&gt;0),TRUE,FALSE)</formula>
    </cfRule>
  </conditionalFormatting>
  <conditionalFormatting sqref="AC16">
    <cfRule type="expression" dxfId="43" priority="139" stopIfTrue="1">
      <formula>IF(OFFSET($X16,$A16,0)="Yes",TRUE,FALSE)*IF((LEN($C16)&gt;0),TRUE,FALSE)</formula>
    </cfRule>
    <cfRule type="expression" dxfId="42" priority="140" stopIfTrue="1">
      <formula>IF(OFFSET($X16,$A16,0)="Yes",TRUE,FALSE)+IF(LEN($C16)=0,TRUE,FALSE)</formula>
    </cfRule>
    <cfRule type="expression" dxfId="41" priority="141" stopIfTrue="1">
      <formula>IF((LEN($C16)&gt;0),TRUE,FALSE)</formula>
    </cfRule>
  </conditionalFormatting>
  <conditionalFormatting sqref="E16 L16:P16 R16 X16">
    <cfRule type="expression" dxfId="37" priority="122" stopIfTrue="1">
      <formula>IF(LEN($C16)=0,TRUE,FALSE)</formula>
    </cfRule>
    <cfRule type="expression" dxfId="36" priority="123" stopIfTrue="1">
      <formula>IF((LEN($C16)&gt;0),TRUE,FALSE)</formula>
    </cfRule>
  </conditionalFormatting>
  <conditionalFormatting sqref="AD17:AF17">
    <cfRule type="expression" dxfId="35" priority="115" stopIfTrue="1">
      <formula>IF(OFFSET($X17,$A17,0)="Yes",TRUE,FALSE)*IF((LEN($C17)&gt;0),TRUE,FALSE)</formula>
    </cfRule>
    <cfRule type="expression" dxfId="34" priority="116" stopIfTrue="1">
      <formula>IF(OFFSET($X17,$A17,0)="Yes",TRUE,FALSE)</formula>
    </cfRule>
    <cfRule type="expression" dxfId="33" priority="117" stopIfTrue="1">
      <formula>IF((LEN($C17)&gt;0),TRUE,FALSE)</formula>
    </cfRule>
  </conditionalFormatting>
  <conditionalFormatting sqref="AJ17:AK17">
    <cfRule type="expression" dxfId="32" priority="120" stopIfTrue="1">
      <formula>IF((LEN($C17)&gt;0),TRUE,FALSE)</formula>
    </cfRule>
  </conditionalFormatting>
  <conditionalFormatting sqref="AI17">
    <cfRule type="expression" dxfId="31" priority="118" stopIfTrue="1">
      <formula>NOT($A$6)*(ROW()&lt;ROW(hEpiThermInd)+$A$10/$A$9+1)</formula>
    </cfRule>
    <cfRule type="expression" dxfId="30" priority="119" stopIfTrue="1">
      <formula>IF((LEN($C17)&gt;0),TRUE,FALSE)</formula>
    </cfRule>
  </conditionalFormatting>
  <conditionalFormatting sqref="AA17:AB17">
    <cfRule type="expression" dxfId="29" priority="109" stopIfTrue="1">
      <formula>IF(OFFSET($X17,$A17,0)="No",TRUE,FALSE)*IF((LEN($C17)&gt;0),TRUE,FALSE)</formula>
    </cfRule>
    <cfRule type="expression" dxfId="28" priority="110" stopIfTrue="1">
      <formula>IF(OFFSET($X17,$A17,0)="No",TRUE,FALSE)</formula>
    </cfRule>
    <cfRule type="expression" dxfId="27" priority="111" stopIfTrue="1">
      <formula>IF((LEN($C17)&gt;0),TRUE,FALSE)</formula>
    </cfRule>
  </conditionalFormatting>
  <conditionalFormatting sqref="U17">
    <cfRule type="expression" dxfId="26" priority="103" stopIfTrue="1">
      <formula>IF((LEN($C17)&gt;0),TRUE,FALSE)*IF($U17&lt;=0.1,TRUE,FALSE)</formula>
    </cfRule>
    <cfRule type="cellIs" dxfId="25" priority="104" stopIfTrue="1" operator="lessThanOrEqual">
      <formula>0.1</formula>
    </cfRule>
    <cfRule type="expression" dxfId="24" priority="105" stopIfTrue="1">
      <formula>IF((LEN($C17)&gt;0),TRUE,FALSE)</formula>
    </cfRule>
  </conditionalFormatting>
  <conditionalFormatting sqref="K17">
    <cfRule type="expression" dxfId="23" priority="100" stopIfTrue="1">
      <formula>IF(LEN($C17)=0,TRUE,FALSE)</formula>
    </cfRule>
    <cfRule type="expression" dxfId="22" priority="101" stopIfTrue="1">
      <formula>IF($H17=1,FALSE,IF((LEN($C17)&gt;0)*($H17&lt;&gt;""),TRUE,FALSE))</formula>
    </cfRule>
    <cfRule type="expression" dxfId="21" priority="102" stopIfTrue="1">
      <formula>IF((LEN($C17)&gt;0),TRUE,FALSE)</formula>
    </cfRule>
  </conditionalFormatting>
  <conditionalFormatting sqref="F17">
    <cfRule type="expression" dxfId="20" priority="97" stopIfTrue="1">
      <formula>IF((LEN($C17)&gt;0),TRUE,FALSE)*IF((OFFSET($C17,$A17,0)="LI6(N,A)T")+(OFFSET($C17,$A17,0)="B10(N,A)LI7"),TRUE,FALSE)</formula>
    </cfRule>
    <cfRule type="expression" dxfId="19" priority="98" stopIfTrue="1">
      <formula>IF((OFFSET($C17,$A17,0)="LI6(N,A)T")+(OFFSET($C17,$A17,0)="B10(N,A)LI7"),TRUE,FALSE)</formula>
    </cfRule>
    <cfRule type="expression" dxfId="18" priority="99" stopIfTrue="1">
      <formula>IF((LEN($C17)&gt;0),TRUE,FALSE)</formula>
    </cfRule>
  </conditionalFormatting>
  <conditionalFormatting sqref="C17:D17 G17:H17 S17:T17 V17 Q17 AG17:AH17 J17">
    <cfRule type="expression" dxfId="17" priority="94" stopIfTrue="1">
      <formula>IF((LEN($C17)&gt;0),TRUE,FALSE)</formula>
    </cfRule>
  </conditionalFormatting>
  <conditionalFormatting sqref="AC17">
    <cfRule type="expression" dxfId="16" priority="112" stopIfTrue="1">
      <formula>IF(OFFSET($X17,$A17,0)="Yes",TRUE,FALSE)*IF((LEN($C17)&gt;0),TRUE,FALSE)</formula>
    </cfRule>
    <cfRule type="expression" dxfId="15" priority="113" stopIfTrue="1">
      <formula>IF(OFFSET($X17,$A17,0)="Yes",TRUE,FALSE)+IF(LEN($C17)=0,TRUE,FALSE)</formula>
    </cfRule>
    <cfRule type="expression" dxfId="14" priority="114" stopIfTrue="1">
      <formula>IF((LEN($C17)&gt;0),TRUE,FALSE)</formula>
    </cfRule>
  </conditionalFormatting>
  <conditionalFormatting sqref="Y17:Z17">
    <cfRule type="expression" dxfId="13" priority="106" stopIfTrue="1">
      <formula>IF(OFFSET($X17,$A17,0)="No",TRUE,FALSE)*IF((LEN($C17)&gt;0),TRUE,FALSE)</formula>
    </cfRule>
    <cfRule type="expression" dxfId="12" priority="107" stopIfTrue="1">
      <formula>IF(OFFSET($X17,$A17,0)="No",TRUE,FALSE)+IF(LEN($C17)=0,TRUE,FALSE)</formula>
    </cfRule>
    <cfRule type="expression" dxfId="11" priority="108" stopIfTrue="1">
      <formula>IF((LEN($C17)&gt;0),TRUE,FALSE)</formula>
    </cfRule>
  </conditionalFormatting>
  <conditionalFormatting sqref="E17 L17:P17 R17 X17">
    <cfRule type="expression" dxfId="10" priority="95" stopIfTrue="1">
      <formula>IF(LEN($C17)=0,TRUE,FALSE)</formula>
    </cfRule>
    <cfRule type="expression" dxfId="9" priority="96" stopIfTrue="1">
      <formula>IF((LEN($C17)&gt;0),TRUE,FALSE)</formula>
    </cfRule>
  </conditionalFormatting>
  <conditionalFormatting sqref="Y12:Z14">
    <cfRule type="expression" dxfId="8" priority="7" stopIfTrue="1">
      <formula>IF(OFFSET($X12,$A12,0)="No",TRUE,FALSE)*IF((LEN($C12)&gt;0),TRUE,FALSE)</formula>
    </cfRule>
    <cfRule type="expression" dxfId="7" priority="8" stopIfTrue="1">
      <formula>IF(OFFSET($X12,$A12,0)="No",TRUE,FALSE)+IF(LEN($C12)=0,TRUE,FALSE)</formula>
    </cfRule>
    <cfRule type="expression" dxfId="6" priority="9" stopIfTrue="1">
      <formula>IF((LEN($C12)&gt;0),TRUE,FALSE)</formula>
    </cfRule>
  </conditionalFormatting>
  <conditionalFormatting sqref="Y15:Z15">
    <cfRule type="expression" dxfId="5" priority="4" stopIfTrue="1">
      <formula>IF(OFFSET($X15,$A15,0)="No",TRUE,FALSE)*IF((LEN($C15)&gt;0),TRUE,FALSE)</formula>
    </cfRule>
    <cfRule type="expression" dxfId="4" priority="5" stopIfTrue="1">
      <formula>IF(OFFSET($X15,$A15,0)="No",TRUE,FALSE)+IF(LEN($C15)=0,TRUE,FALSE)</formula>
    </cfRule>
    <cfRule type="expression" dxfId="3" priority="6" stopIfTrue="1">
      <formula>IF((LEN($C15)&gt;0),TRUE,FALSE)</formula>
    </cfRule>
  </conditionalFormatting>
  <conditionalFormatting sqref="Y16:Z16">
    <cfRule type="expression" dxfId="2" priority="1" stopIfTrue="1">
      <formula>IF(OFFSET($X16,$A16,0)="No",TRUE,FALSE)*IF((LEN($C16)&gt;0),TRUE,FALSE)</formula>
    </cfRule>
    <cfRule type="expression" dxfId="1" priority="2" stopIfTrue="1">
      <formula>IF(OFFSET($X16,$A16,0)="No",TRUE,FALSE)+IF(LEN($C16)=0,TRUE,FALSE)</formula>
    </cfRule>
    <cfRule type="expression" dxfId="0" priority="3" stopIfTrue="1">
      <formula>IF((LEN($C16)&gt;0),TRUE,FALSE)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2018-01-07T15:59:08Z</dcterms:modified>
</cp:coreProperties>
</file>