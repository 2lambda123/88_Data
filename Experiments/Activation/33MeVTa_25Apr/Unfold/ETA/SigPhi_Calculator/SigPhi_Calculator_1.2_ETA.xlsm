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 - Copy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SigPhi_Calculations!$AD$7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1</definedName>
    <definedName name="solver_num" localSheetId="4" hidden="1">0</definedName>
    <definedName name="solver_nwt" localSheetId="4" hidden="1">1</definedName>
    <definedName name="solver_opt" localSheetId="4" hidden="1">SigPhi_Calculations!$AI$22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olver_ver" localSheetId="4" hidden="1">3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F18" i="1"/>
  <c r="G17" i="1"/>
  <c r="F17" i="1"/>
  <c r="F16" i="1"/>
  <c r="G16" i="1"/>
  <c r="G15" i="1"/>
  <c r="F15" i="1"/>
  <c r="G14" i="1"/>
  <c r="F14" i="1"/>
  <c r="G13" i="1"/>
  <c r="F13" i="1"/>
  <c r="G12" i="1"/>
  <c r="F12" i="1"/>
  <c r="AH18" i="1" l="1"/>
  <c r="A18" i="1"/>
  <c r="R18" i="1" s="1"/>
  <c r="AK18" i="1" l="1"/>
  <c r="M18" i="1" l="1"/>
  <c r="T18" i="1"/>
  <c r="N18" i="1"/>
  <c r="P18" i="1" s="1"/>
  <c r="X18" i="1"/>
  <c r="O18" i="1"/>
  <c r="K18" i="1" s="1"/>
  <c r="Q18" i="1" s="1" a="1"/>
  <c r="Q18" i="1" s="1"/>
  <c r="L18" i="1"/>
  <c r="S18" i="1" l="1"/>
  <c r="AC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U18" i="1"/>
  <c r="V18" i="1" l="1"/>
  <c r="AD18" i="1"/>
  <c r="AJ18" i="1"/>
  <c r="AI18" i="1" s="1"/>
  <c r="D18" i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O13" i="1"/>
  <c r="K13" i="1" s="1"/>
  <c r="N13" i="1"/>
  <c r="P13" i="1" s="1"/>
  <c r="AJ14" i="1"/>
  <c r="B9" i="3"/>
  <c r="D8" i="3"/>
  <c r="AB18" i="1" l="1"/>
  <c r="AE18" i="1"/>
  <c r="AF18" i="1" s="1"/>
  <c r="AA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3" i="1"/>
  <c r="U14" i="1"/>
  <c r="U12" i="1"/>
  <c r="U15" i="1"/>
  <c r="U16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20" i="1" l="1" a="1"/>
  <c r="AI20" i="1" s="1"/>
  <c r="AI22" i="1" s="1"/>
  <c r="AF20" i="1" a="1"/>
  <c r="AF20" i="1" s="1"/>
  <c r="AA20" i="1" a="1"/>
  <c r="AA20" i="1" s="1"/>
  <c r="AB20" i="1" a="1"/>
  <c r="AB20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<sst xmlns="http://schemas.openxmlformats.org/spreadsheetml/2006/main" count="1254" uniqueCount="659">
  <si>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</si>
  <si>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</si>
  <si>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</si>
  <si>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</si>
  <si>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</si>
  <si>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</si>
  <si>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</si>
  <si>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</si>
  <si>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</si>
  <si>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</si>
  <si>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</si>
  <si>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</si>
  <si>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</si>
  <si>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</si>
  <si>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</si>
  <si>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</si>
  <si>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</si>
  <si>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</si>
  <si>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</si>
  <si>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</si>
  <si>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</si>
  <si>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</si>
  <si>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</si>
  <si>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</si>
  <si>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</si>
  <si>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</si>
  <si>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</si>
  <si>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</si>
  <si>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</si>
  <si>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</si>
  <si>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</si>
  <si>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</si>
  <si>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</si>
  <si>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</si>
  <si>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</si>
  <si>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</si>
  <si>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</si>
  <si>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</si>
  <si>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</si>
  <si>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</si>
  <si>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</si>
  <si>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</si>
  <si>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</si>
  <si>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</si>
  <si>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</si>
  <si>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</si>
  <si>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</si>
  <si>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</si>
  <si>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</si>
  <si>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</si>
  <si>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</si>
  <si>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</si>
  <si>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</si>
  <si>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</si>
  <si>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</si>
  <si>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</si>
  <si>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</si>
  <si>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</si>
  <si>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</si>
  <si>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</si>
  <si>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</si>
  <si>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</si>
  <si>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</si>
  <si>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</si>
  <si>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</si>
  <si>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</si>
  <si>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</si>
  <si>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</si>
  <si>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</si>
  <si>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</si>
  <si>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</si>
  <si>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</si>
  <si>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</si>
  <si>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</si>
  <si>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</si>
  <si>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</si>
  <si>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</si>
  <si>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</si>
  <si>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</si>
  <si>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</si>
  <si>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</si>
  <si>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</si>
  <si>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</si>
  <si>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</si>
  <si>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</si>
  <si>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</si>
  <si>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</si>
  <si>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</si>
  <si>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</si>
  <si>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</si>
  <si>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</si>
  <si>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</si>
  <si>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</si>
  <si>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</si>
  <si>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</si>
  <si>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</si>
  <si>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</si>
  <si>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</si>
  <si>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</si>
  <si>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</si>
  <si>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</si>
  <si>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</si>
  <si>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</si>
  <si>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</si>
  <si>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</si>
  <si>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</si>
  <si>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</si>
  <si>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</si>
  <si>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</si>
  <si>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</si>
  <si>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</si>
  <si>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</si>
  <si>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</si>
  <si>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</si>
  <si>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</si>
  <si>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</si>
  <si>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</si>
  <si>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</si>
  <si>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</si>
  <si>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</si>
  <si>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</si>
  <si>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</si>
  <si>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</si>
  <si>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</si>
  <si>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</si>
  <si>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</si>
  <si>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</si>
  <si>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</si>
  <si>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</si>
  <si>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</si>
  <si>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</si>
  <si>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</si>
  <si>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</si>
  <si>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</si>
  <si>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</si>
  <si>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</si>
  <si>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</si>
  <si>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</si>
  <si>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</si>
  <si>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</si>
  <si>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</si>
  <si>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</si>
  <si>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</si>
  <si>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</si>
  <si>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</si>
  <si>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</si>
  <si>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</si>
  <si>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</si>
  <si>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</si>
  <si>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</si>
  <si>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</si>
  <si>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</si>
  <si>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</si>
  <si>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</si>
  <si>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</si>
  <si>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</si>
  <si>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</si>
  <si>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</si>
  <si>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</si>
  <si>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</si>
  <si>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</si>
  <si>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</si>
  <si>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</si>
  <si>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</si>
  <si>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</si>
  <si>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</si>
  <si>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</si>
  <si>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</si>
  <si>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</si>
  <si>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</si>
  <si>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</si>
  <si>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</si>
  <si>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</si>
  <si>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</si>
  <si>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</si>
  <si>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</si>
  <si>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</si>
  <si>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</si>
  <si>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</si>
  <si>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</si>
  <si>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</si>
  <si>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</si>
  <si>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</si>
  <si>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</si>
  <si>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</si>
  <si>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</si>
  <si>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</si>
  <si>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</si>
  <si>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</si>
  <si>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</si>
  <si>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</si>
  <si>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</si>
  <si>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</si>
  <si>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</si>
  <si>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</si>
  <si>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</si>
  <si>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</si>
  <si>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</si>
  <si>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</si>
  <si>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</si>
  <si>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</si>
  <si>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</si>
  <si>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</si>
  <si>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</si>
  <si>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</si>
  <si>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</si>
  <si>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</si>
  <si>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</si>
  <si>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</si>
  <si>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</si>
  <si>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</si>
  <si>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</si>
  <si>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</si>
  <si>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</si>
  <si>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</si>
  <si>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</si>
  <si>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</si>
  <si>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</si>
  <si>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</si>
  <si>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</si>
  <si>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</si>
  <si>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</si>
  <si>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</si>
  <si>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</si>
  <si>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</si>
  <si>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</si>
  <si>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</si>
  <si>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</si>
  <si>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</si>
  <si>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</si>
  <si>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</si>
  <si>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</si>
  <si>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</si>
  <si>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</si>
  <si>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</si>
  <si>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</si>
  <si>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</si>
  <si>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</si>
  <si>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</si>
  <si>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</si>
  <si>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</si>
  <si>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</si>
  <si>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</si>
  <si>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</si>
  <si>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</si>
  <si>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</si>
  <si>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</si>
  <si>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</si>
  <si>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</si>
  <si>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</si>
  <si>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</si>
  <si>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</si>
  <si>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</si>
  <si>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</si>
  <si>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</si>
  <si>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</si>
  <si>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</si>
  <si>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</si>
  <si>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</si>
  <si>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</si>
  <si>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</si>
  <si>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</si>
  <si>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</si>
  <si>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</si>
  <si>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</si>
  <si>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</si>
  <si>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</si>
  <si>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</si>
  <si>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</si>
  <si>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</si>
  <si>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</si>
  <si>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</si>
  <si>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</si>
  <si>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</si>
  <si>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</si>
  <si>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</si>
  <si>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</si>
  <si>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</si>
  <si>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</si>
  <si>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</si>
  <si>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</si>
  <si>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</si>
  <si>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</si>
  <si>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</si>
  <si>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</si>
  <si>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</si>
  <si>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</si>
  <si>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</si>
  <si>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</si>
  <si>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</si>
  <si>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</si>
  <si>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</si>
  <si>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</si>
  <si>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</si>
  <si>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</si>
  <si>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</si>
  <si>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</si>
  <si>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</si>
  <si>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</si>
  <si>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</si>
  <si>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</si>
  <si>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</si>
  <si>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</si>
  <si>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</si>
  <si>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</si>
  <si>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</si>
  <si>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</si>
  <si>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</si>
  <si>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</si>
  <si>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</si>
  <si>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</si>
  <si>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</si>
  <si>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</si>
  <si>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</si>
  <si>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</si>
  <si>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</si>
  <si>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</si>
  <si>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</si>
  <si>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</si>
  <si>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</si>
  <si>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</si>
  <si>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</si>
  <si>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</si>
  <si>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</si>
  <si>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</si>
  <si>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</si>
  <si>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</si>
  <si>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</si>
  <si>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</si>
  <si>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</si>
  <si>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</si>
  <si>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</si>
  <si>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</si>
  <si>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</si>
  <si>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</si>
  <si>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</si>
  <si>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</si>
  <si>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</si>
  <si>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</si>
  <si>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</si>
  <si>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</si>
  <si>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</si>
  <si>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</si>
  <si>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</si>
  <si>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</si>
  <si>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</si>
  <si>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</si>
  <si>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</si>
  <si>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</si>
  <si>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</si>
  <si>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</si>
  <si>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</si>
  <si>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</si>
  <si>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</si>
  <si>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</si>
  <si>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</si>
  <si>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</si>
  <si>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</si>
  <si>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</si>
  <si>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</si>
  <si>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</si>
  <si>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</si>
  <si>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</si>
  <si>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</si>
  <si>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</si>
  <si>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</si>
  <si>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</si>
  <si>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</si>
  <si>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</si>
  <si>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</si>
  <si>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</si>
  <si>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</si>
  <si>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</si>
  <si>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</si>
  <si>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</si>
  <si>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</si>
  <si>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</si>
  <si>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</si>
  <si>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</si>
  <si>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</si>
  <si>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</si>
  <si>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</si>
  <si>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</si>
  <si>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</si>
  <si>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</si>
  <si>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</si>
  <si>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</si>
  <si>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</si>
  <si>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</si>
  <si>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</si>
  <si>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</si>
  <si>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</si>
  <si>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</si>
  <si>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</si>
  <si>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</si>
  <si>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</si>
  <si>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</si>
  <si>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</si>
  <si>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</si>
  <si>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</si>
  <si>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</si>
  <si>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</si>
  <si>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</si>
  <si>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</si>
  <si>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</si>
  <si>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</si>
  <si>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</si>
  <si>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</si>
  <si>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</si>
  <si>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</si>
  <si>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</si>
  <si>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</si>
  <si>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</si>
  <si>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</si>
  <si>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</si>
  <si>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</si>
  <si>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</si>
  <si>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</si>
  <si>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</si>
  <si>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</si>
  <si>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</si>
  <si>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</si>
  <si>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</si>
  <si>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</si>
  <si>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</si>
  <si>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</si>
  <si>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</si>
  <si>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</si>
  <si>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</si>
  <si>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</si>
  <si>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</si>
  <si>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</si>
  <si>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</si>
  <si>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</si>
  <si>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</si>
  <si>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</si>
  <si>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</si>
  <si>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</si>
  <si>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</si>
  <si>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</si>
  <si>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</si>
  <si>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</si>
  <si>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</si>
  <si>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</si>
  <si>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</si>
  <si>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</si>
  <si>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</si>
  <si>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</si>
  <si>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</si>
  <si>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</si>
  <si>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</si>
  <si>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</si>
  <si>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</si>
  <si>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</si>
  <si>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</si>
  <si>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</si>
  <si>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</si>
  <si>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</si>
  <si>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</si>
  <si>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</si>
  <si>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</si>
  <si>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</si>
  <si>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</si>
  <si>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</si>
  <si>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</si>
  <si>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</si>
  <si>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</si>
  <si>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</si>
  <si>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</si>
  <si>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</si>
  <si>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</si>
  <si>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</si>
  <si>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</si>
  <si>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</si>
  <si>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</si>
  <si>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</si>
  <si>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</si>
  <si>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</si>
  <si>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</si>
  <si>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</si>
  <si>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</si>
  <si>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</si>
  <si>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</si>
  <si>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</si>
  <si>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</si>
  <si>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</si>
  <si>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</si>
  <si>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</si>
  <si>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</si>
  <si>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</si>
  <si>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</si>
  <si>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</si>
  <si>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</si>
  <si>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</si>
  <si>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</si>
  <si>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</si>
  <si>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</si>
  <si>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</si>
  <si>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</si>
  <si>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</si>
  <si>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</si>
  <si>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</si>
  <si>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</si>
  <si>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</si>
  <si>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</si>
  <si>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</si>
  <si>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</si>
  <si>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</si>
  <si>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</si>
  <si>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</si>
  <si>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</si>
  <si>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</si>
  <si>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</si>
  <si>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</si>
  <si>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</si>
  <si>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</si>
  <si>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</si>
  <si>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</si>
  <si>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</si>
  <si>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</si>
  <si>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</si>
  <si>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</si>
  <si>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</si>
  <si>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</si>
  <si>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</si>
  <si>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</si>
  <si>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</si>
  <si>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</si>
  <si>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</si>
  <si>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</si>
  <si>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</si>
  <si>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</si>
  <si>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</si>
  <si>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</si>
  <si>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</si>
  <si>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</si>
  <si>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</si>
  <si>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</si>
  <si>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</si>
  <si>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</si>
  <si>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</si>
  <si>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</si>
  <si>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</si>
  <si>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</si>
  <si>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</si>
  <si>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</si>
  <si>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</si>
  <si>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</si>
  <si>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</si>
  <si>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</si>
  <si>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</si>
  <si>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</si>
  <si>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</si>
  <si>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</si>
  <si>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</si>
  <si>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</si>
  <si>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</si>
  <si>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</si>
  <si>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</si>
  <si>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</si>
  <si>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</si>
  <si>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</si>
  <si>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</si>
  <si>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</si>
  <si>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</si>
  <si>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</si>
  <si>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</si>
  <si>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</si>
  <si>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</si>
  <si>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</si>
  <si>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</si>
  <si>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</si>
  <si>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</si>
  <si>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</si>
  <si>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</si>
  <si>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</si>
  <si>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</si>
  <si>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</si>
  <si>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</si>
  <si>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</si>
  <si>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</si>
  <si>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</si>
  <si>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</si>
  <si>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</si>
  <si>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</si>
  <si>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</si>
  <si>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</si>
  <si>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</si>
  <si>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</si>
  <si>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</si>
  <si>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</si>
  <si>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</si>
  <si>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</si>
  <si>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</si>
  <si>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</si>
  <si>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</si>
  <si>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</si>
  <si>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</si>
  <si>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</si>
  <si>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</si>
  <si>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</si>
  <si>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</si>
  <si>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</si>
  <si>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</si>
  <si>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</si>
  <si>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</si>
  <si>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</si>
  <si>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</si>
  <si>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</si>
  <si>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</si>
  <si>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</si>
  <si>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</si>
  <si>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</si>
  <si>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</si>
  <si>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</si>
  <si>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</si>
  <si>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</si>
  <si>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</si>
  <si>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</si>
  <si>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</si>
  <si>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</si>
  <si>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</si>
  <si>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</si>
  <si>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</si>
  <si>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</si>
  <si>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</si>
  <si>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</si>
  <si>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</si>
  <si>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</si>
  <si>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</si>
  <si>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</si>
  <si>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</si>
  <si>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</si>
  <si>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</si>
  <si>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</si>
  <si>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</si>
  <si>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</si>
  <si>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</si>
  <si>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</si>
  <si>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</si>
  <si>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</si>
  <si>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</si>
  <si>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</si>
  <si>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</si>
  <si>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</si>
  <si>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</si>
  <si>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</si>
  <si>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</si>
  <si>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</si>
  <si>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</si>
  <si>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</si>
  <si>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</si>
  <si>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</si>
  <si>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</si>
  <si>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</si>
  <si>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</si>
  <si>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</si>
  <si>
    <t>ETA</t>
  </si>
  <si>
    <t>2018-Jan-7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</si>
</sst>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7"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646336"/>
        <c:axId val="250646728"/>
      </c:scatterChart>
      <c:valAx>
        <c:axId val="250646336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646728"/>
        <c:crosses val="autoZero"/>
        <c:crossBetween val="midCat"/>
        <c:majorUnit val="1"/>
        <c:minorUnit val="0.25"/>
      </c:valAx>
      <c:valAx>
        <c:axId val="250646728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646336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633</v>
      </c>
      <c r="C3" s="116" t="s">
        <v>634</v>
      </c>
      <c r="D3" s="118">
        <v>0</v>
      </c>
      <c r="E3" s="115" t="s">
        <v>635</v>
      </c>
      <c r="F3" s="115" t="s">
        <v>634</v>
      </c>
      <c r="G3" s="118">
        <v>0</v>
      </c>
      <c r="H3" s="115" t="s">
        <v>412</v>
      </c>
    </row>
    <row r="4" spans="1:10" x14ac:dyDescent="0.2">
      <c r="B4" s="115" t="s">
        <v>636</v>
      </c>
      <c r="C4" s="116" t="s">
        <v>634</v>
      </c>
      <c r="D4" s="118">
        <v>0.81502300000000005</v>
      </c>
      <c r="E4" s="118" t="s">
        <v>635</v>
      </c>
      <c r="F4" s="115" t="s">
        <v>634</v>
      </c>
      <c r="G4" s="118">
        <v>70418</v>
      </c>
      <c r="H4" s="115" t="s">
        <v>412</v>
      </c>
    </row>
    <row r="5" spans="1:10" x14ac:dyDescent="0.2">
      <c r="B5" s="115" t="s">
        <v>637</v>
      </c>
      <c r="C5" s="116" t="s">
        <v>634</v>
      </c>
      <c r="D5" s="118">
        <v>8.7962099999999996E-6</v>
      </c>
      <c r="E5" s="115" t="s">
        <v>638</v>
      </c>
      <c r="F5" s="118" t="s">
        <v>634</v>
      </c>
      <c r="G5" s="118">
        <v>0.759992</v>
      </c>
      <c r="H5" s="115" t="s">
        <v>639</v>
      </c>
    </row>
    <row r="6" spans="1:10" x14ac:dyDescent="0.2">
      <c r="B6" s="115" t="s">
        <v>640</v>
      </c>
      <c r="C6" s="116" t="s">
        <v>634</v>
      </c>
      <c r="D6" s="118">
        <v>1.0792600000000001E-5</v>
      </c>
      <c r="E6" s="115" t="s">
        <v>641</v>
      </c>
      <c r="G6" s="118"/>
    </row>
    <row r="8" spans="1:10" x14ac:dyDescent="0.2">
      <c r="A8" s="116" t="s">
        <v>642</v>
      </c>
      <c r="B8" s="116" t="s">
        <v>643</v>
      </c>
      <c r="C8" s="116" t="s">
        <v>644</v>
      </c>
      <c r="D8" s="116" t="s">
        <v>645</v>
      </c>
      <c r="E8" s="116" t="s">
        <v>646</v>
      </c>
      <c r="F8" s="116" t="s">
        <v>647</v>
      </c>
      <c r="G8" s="116" t="s">
        <v>648</v>
      </c>
      <c r="H8" s="116" t="s">
        <v>649</v>
      </c>
    </row>
    <row r="9" spans="1:10" x14ac:dyDescent="0.2">
      <c r="A9" s="116" t="s">
        <v>650</v>
      </c>
      <c r="B9" s="116" t="s">
        <v>651</v>
      </c>
      <c r="C9" s="116" t="s">
        <v>652</v>
      </c>
      <c r="D9" s="116" t="s">
        <v>653</v>
      </c>
      <c r="E9" s="116" t="s">
        <v>654</v>
      </c>
      <c r="F9" s="119" t="s">
        <v>650</v>
      </c>
      <c r="G9" s="119" t="s">
        <v>650</v>
      </c>
      <c r="H9" s="116" t="s">
        <v>650</v>
      </c>
    </row>
    <row r="10" spans="1:10" x14ac:dyDescent="0.2">
      <c r="A10" s="115" t="s">
        <v>45</v>
      </c>
      <c r="B10" s="118" t="s">
        <v>655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655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="140" zoomScaleNormal="140" workbookViewId="0">
      <pane xSplit="4" ySplit="11" topLeftCell="Q12" activePane="bottomRight" state="frozenSplit"/>
      <selection activeCell="A10" sqref="A10"/>
      <selection pane="topRight" activeCell="C10" sqref="C10"/>
      <selection pane="bottomLeft" activeCell="A4" sqref="A4"/>
      <selection pane="bottomRight" activeCell="H18" sqref="H18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6" width="18.28515625" bestFit="1" customWidth="1"/>
    <col min="7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657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ETA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658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2018-Jan-7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656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632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0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641.72/5.284</f>
        <v>121.44587433762302</v>
      </c>
      <c r="G12" s="166">
        <f>18.37/641.72</f>
        <v>2.8626192108707847E-2</v>
      </c>
      <c r="H12" s="125">
        <v>1</v>
      </c>
      <c r="I12" s="125" t="s">
        <v>33</v>
      </c>
      <c r="J12" s="125">
        <v>39.76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6.7429973278167026E-21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0.30434782608695654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6.7429973278167026E-21</v>
      </c>
      <c r="X12" s="200" t="str">
        <f t="shared" ref="X12:X18" ca="1" si="10">IF($A12=0,INDEX(RxnData,$AK12,6),"")</f>
        <v>Yes</v>
      </c>
      <c r="Y12" s="201">
        <v>2.1899999999999999E-2</v>
      </c>
      <c r="Z12" s="201">
        <v>2.1899999999999999E-2</v>
      </c>
      <c r="AA12" s="53">
        <f t="shared" ref="AA12:AA18" ca="1" si="11">IF((OFFSET($X12,$A12,0)="No")+($F12="")+ISERROR($V12),"",$V12*($D$7*86400)*(1E+24/OFFSET($Y12,$A12,0)))</f>
        <v>21681639691.700718</v>
      </c>
      <c r="AB12" s="53">
        <f t="shared" ref="AB12:AB18" ca="1" si="12">IF((OFFSET($X12,$A12,0)="No")+($F12="")+ISERROR($V12),"",$V12*($D$7*86400)*(1E+24/OFFSET($Z12,$A12,0)))</f>
        <v>21681639691.700718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376.26/5.284</f>
        <v>71.207418622255872</v>
      </c>
      <c r="G13" s="166">
        <f>3.75/376.26</f>
        <v>9.9665125179397226E-3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5.4769039781765845E-21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5.4769039781765845E-21</v>
      </c>
      <c r="X13" s="200" t="str">
        <f t="shared" ca="1" si="10"/>
        <v>Yes</v>
      </c>
      <c r="Y13" s="201">
        <v>2.4400000000000002E-2</v>
      </c>
      <c r="Z13" s="201">
        <v>2.4400000000000002E-2</v>
      </c>
      <c r="AA13" s="53">
        <f t="shared" ca="1" si="11"/>
        <v>15806239231.078117</v>
      </c>
      <c r="AB13" s="53">
        <f t="shared" ca="1" si="12"/>
        <v>15806239231.078117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40.08/17.267</f>
        <v>2.3211907106040424</v>
      </c>
      <c r="G14" s="166">
        <f>0.51/40.08</f>
        <v>1.2724550898203594E-2</v>
      </c>
      <c r="H14" s="125">
        <v>0.98980000000000001</v>
      </c>
      <c r="I14" s="125" t="s">
        <v>33</v>
      </c>
      <c r="J14" s="125">
        <v>39.49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0.97700110169664722</v>
      </c>
      <c r="R14" s="197">
        <f t="shared" ca="1" si="6"/>
        <v>1</v>
      </c>
      <c r="S14" s="51">
        <f t="shared" ca="1" si="7"/>
        <v>1.0923502887130192E-21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0.99999999999999967</v>
      </c>
      <c r="V14" s="51">
        <f t="shared" ca="1" si="9"/>
        <v>1.0923502887130196E-21</v>
      </c>
      <c r="X14" s="200" t="str">
        <f t="shared" ca="1" si="10"/>
        <v>Yes</v>
      </c>
      <c r="Y14" s="201">
        <v>5.2500000000000003E-3</v>
      </c>
      <c r="Z14" s="201">
        <v>5.2500000000000003E-3</v>
      </c>
      <c r="AA14" s="53">
        <f t="shared" ca="1" si="11"/>
        <v>14651627700.075663</v>
      </c>
      <c r="AB14" s="53">
        <f t="shared" ca="1" si="12"/>
        <v>14651627700.075663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2627.83/14.47</f>
        <v>181.60539046302694</v>
      </c>
      <c r="G15" s="166">
        <f>25.19/2627.83</f>
        <v>9.5858560104725207E-3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4.2119944840321359E-20</v>
      </c>
      <c r="T15" s="52">
        <f t="shared" ca="1" si="8"/>
        <v>0.42439024390243901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0.99999999999999234</v>
      </c>
      <c r="V15" s="51">
        <f t="shared" ca="1" si="9"/>
        <v>4.2119944840321684E-20</v>
      </c>
      <c r="X15" s="200" t="str">
        <f t="shared" ca="1" si="10"/>
        <v>Yes</v>
      </c>
      <c r="Y15" s="201">
        <v>0.12</v>
      </c>
      <c r="Z15" s="201">
        <v>0.113</v>
      </c>
      <c r="AA15" s="53">
        <f t="shared" ca="1" si="11"/>
        <v>24716660823.415848</v>
      </c>
      <c r="AB15" s="53">
        <f t="shared" ca="1" si="12"/>
        <v>26247781405.397362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77.07/3.542</f>
        <v>21.75889328063241</v>
      </c>
      <c r="G16" s="166">
        <f>1.2/77.07</f>
        <v>1.5570260801868432E-2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8.3587736432861213E-20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0.99999999999999611</v>
      </c>
      <c r="V16" s="51">
        <f t="shared" ca="1" si="9"/>
        <v>8.3587736432861538E-20</v>
      </c>
      <c r="X16" s="200" t="str">
        <f t="shared" ca="1" si="10"/>
        <v>Yes</v>
      </c>
      <c r="Y16" s="201">
        <v>0.38700000000000001</v>
      </c>
      <c r="Z16" s="201">
        <v>0.38700000000000001</v>
      </c>
      <c r="AA16" s="53">
        <f t="shared" ca="1" si="11"/>
        <v>15209496941.370613</v>
      </c>
      <c r="AB16" s="53">
        <f t="shared" ca="1" si="12"/>
        <v>15209496941.370613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142.52/3.542</f>
        <v>40.237154150197632</v>
      </c>
      <c r="G17" s="166">
        <f>2.23/142.52</f>
        <v>1.5646926747123209E-2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7.1278542437427822E-20</v>
      </c>
      <c r="T17" s="52">
        <f t="shared" ca="1" si="8"/>
        <v>268.49037487335357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0.99999999999934708</v>
      </c>
      <c r="V17" s="51">
        <f t="shared" ca="1" si="9"/>
        <v>7.1278542437474357E-20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</v>
      </c>
      <c r="AE17" s="112">
        <f ca="1">IF((OFFSET($X17,$A17,0)="Yes")+($F17="")+ISERROR($V17),"",IF(($U17&lt;=0.1)*(AK17&gt;3),"",$V17*($D$7*86400)*(1E+24/OFFSET($AC17,$A17,0))))</f>
        <v>50853975.31441915</v>
      </c>
      <c r="AF17" s="112">
        <f ca="1">IF((OFFSET($X17,$A17,0)="Yes")+($F17="")+ISERROR($V17),"",IF(($U17&lt;=0.1)*(AK17&gt;3),"",$AE17/$AD17))</f>
        <v>50853975.31441915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8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5481.65/14.47</f>
        <v>378.82861091914299</v>
      </c>
      <c r="G18" s="166">
        <f>90.75/5481.65</f>
        <v>1.6555234281648776E-2</v>
      </c>
      <c r="H18" s="125">
        <v>1</v>
      </c>
      <c r="I18" s="125" t="s">
        <v>33</v>
      </c>
      <c r="J18" s="125">
        <v>40.39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0.88965000000000005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0.98128749831384843</v>
      </c>
      <c r="R18" s="197">
        <f t="shared" ca="1" si="6"/>
        <v>1</v>
      </c>
      <c r="S18" s="51">
        <f t="shared" ca="1" si="7"/>
        <v>8.6442836119501619E-20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0.99999999999999389</v>
      </c>
      <c r="V18" s="51">
        <f t="shared" ca="1" si="9"/>
        <v>8.6442836119502149E-20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</v>
      </c>
      <c r="AE18" s="112">
        <f ca="1">IF((OFFSET($X18,$A18,0)="Yes")+($F18="")+ISERROR($V18),"",IF(($U18&lt;=0.1)*(AK18&gt;3),"",$V18*($D$7*86400)*(1E+24/OFFSET($AC18,$A18,0))))</f>
        <v>37808233.069884397</v>
      </c>
      <c r="AF18" s="112">
        <f ca="1">IF((OFFSET($X18,$A18,0)="Yes")+($F18="")+ISERROR($V18),"",IF(($U18&lt;=0.1)*(AK18&gt;3),"",$AE18/$AD18))</f>
        <v>37808233.069884397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str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1.84E+10  (24.53%)</v>
      </c>
      <c r="AB20" s="49" t="str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1.87E+10  (27.08%)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4.43E+07  (20.81%)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20.808714275958671</v>
      </c>
      <c r="AJ20" s="96">
        <f ca="1">AvgThemalFluence(D20)</f>
        <v>44331104.19215177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20.808714275958671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xnWtnTjzC95DwThW2U0Pb6wOypwXJ++43UMf29zLziM5s5KT0LijIVbUEzpq634De4SsSPigHKlYBcgPV9PN/Q==" saltValue="atujde4DDfGRsXJ6ZUjWgA==" spinCount="100000" sheet="1" objects="1" scenarios="1" formatCells="0" formatColumns="0" formatRows="0"/>
  <dataConsolidate/>
  <conditionalFormatting sqref="AD12:AF14">
    <cfRule type="expression" dxfId="146" priority="253" stopIfTrue="1">
      <formula>IF(OFFSET($X12,$A12,0)="Yes",TRUE,FALSE)*IF((LEN($C12)&gt;0),TRUE,FALSE)</formula>
    </cfRule>
    <cfRule type="expression" dxfId="145" priority="254" stopIfTrue="1">
      <formula>IF(OFFSET($X12,$A12,0)="Yes",TRUE,FALSE)</formula>
    </cfRule>
    <cfRule type="expression" dxfId="144" priority="256" stopIfTrue="1">
      <formula>IF((LEN($C12)&gt;0),TRUE,FALSE)</formula>
    </cfRule>
  </conditionalFormatting>
  <conditionalFormatting sqref="AJ12:AK14">
    <cfRule type="expression" dxfId="143" priority="306" stopIfTrue="1">
      <formula>IF((LEN($C12)&gt;0),TRUE,FALSE)</formula>
    </cfRule>
  </conditionalFormatting>
  <conditionalFormatting sqref="C5:C6">
    <cfRule type="expression" dxfId="142" priority="209" stopIfTrue="1">
      <formula>$A$3&gt;1</formula>
    </cfRule>
  </conditionalFormatting>
  <conditionalFormatting sqref="C7:C8">
    <cfRule type="expression" dxfId="141" priority="210" stopIfTrue="1">
      <formula>$A$3&gt;1</formula>
    </cfRule>
  </conditionalFormatting>
  <conditionalFormatting sqref="AA7:AD7">
    <cfRule type="expression" dxfId="140" priority="216" stopIfTrue="1">
      <formula>NOT($A$6)</formula>
    </cfRule>
  </conditionalFormatting>
  <conditionalFormatting sqref="AI12:AI14">
    <cfRule type="expression" dxfId="139" priority="263" stopIfTrue="1">
      <formula>NOT($A$6)*(ROW()&lt;ROW(hEpiThermInd)+$A$10/$A$9+1)</formula>
    </cfRule>
    <cfRule type="expression" dxfId="138" priority="264" stopIfTrue="1">
      <formula>IF((LEN($C12)&gt;0),TRUE,FALSE)</formula>
    </cfRule>
  </conditionalFormatting>
  <conditionalFormatting sqref="T7:T8">
    <cfRule type="expression" dxfId="137" priority="215" stopIfTrue="1">
      <formula>IF(A6*(ETRatio=0)+(NOT(A6))*(SUM(IF(OFFSET($AI$11,1,0,$A$10/$A$9,1)=0,1,0))&gt;0),TRUE,FALSE)</formula>
    </cfRule>
  </conditionalFormatting>
  <conditionalFormatting sqref="AA12:AB14">
    <cfRule type="expression" dxfId="136" priority="244" stopIfTrue="1">
      <formula>IF(OFFSET($X12,$A12,0)="No",TRUE,FALSE)*IF((LEN($C12)&gt;0),TRUE,FALSE)</formula>
    </cfRule>
    <cfRule type="expression" dxfId="135" priority="245" stopIfTrue="1">
      <formula>IF(OFFSET($X12,$A12,0)="No",TRUE,FALSE)</formula>
    </cfRule>
    <cfRule type="expression" dxfId="134" priority="247" stopIfTrue="1">
      <formula>IF((LEN($C12)&gt;0),TRUE,FALSE)</formula>
    </cfRule>
  </conditionalFormatting>
  <conditionalFormatting sqref="U12:U14">
    <cfRule type="expression" dxfId="133" priority="227" stopIfTrue="1">
      <formula>IF((LEN($C12)&gt;0),TRUE,FALSE)*IF($U12&lt;=0.1,TRUE,FALSE)</formula>
    </cfRule>
    <cfRule type="cellIs" dxfId="132" priority="228" stopIfTrue="1" operator="lessThanOrEqual">
      <formula>0.1</formula>
    </cfRule>
    <cfRule type="expression" dxfId="131" priority="236" stopIfTrue="1">
      <formula>IF((LEN($C12)&gt;0),TRUE,FALSE)</formula>
    </cfRule>
  </conditionalFormatting>
  <conditionalFormatting sqref="D8">
    <cfRule type="expression" dxfId="130" priority="212" stopIfTrue="1">
      <formula>AND($D$8&lt;1,$D$8&lt;&gt;"")</formula>
    </cfRule>
    <cfRule type="expression" dxfId="129" priority="214" stopIfTrue="1">
      <formula>$A$3&gt;1</formula>
    </cfRule>
  </conditionalFormatting>
  <conditionalFormatting sqref="C4">
    <cfRule type="expression" dxfId="128" priority="207" stopIfTrue="1">
      <formula>$A$3&gt;1</formula>
    </cfRule>
  </conditionalFormatting>
  <conditionalFormatting sqref="E4">
    <cfRule type="expression" dxfId="127" priority="211" stopIfTrue="1">
      <formula>$A$3&gt;1</formula>
    </cfRule>
  </conditionalFormatting>
  <conditionalFormatting sqref="K12:K14">
    <cfRule type="expression" dxfId="126" priority="224" stopIfTrue="1">
      <formula>IF(LEN($C12)=0,TRUE,FALSE)</formula>
    </cfRule>
    <cfRule type="expression" dxfId="125" priority="225" stopIfTrue="1">
      <formula>IF($H12=1,FALSE,IF((LEN($C12)&gt;0)*($H12&lt;&gt;""),TRUE,FALSE))</formula>
    </cfRule>
    <cfRule type="expression" dxfId="124" priority="226" stopIfTrue="1">
      <formula>IF((LEN($C12)&gt;0),TRUE,FALSE)</formula>
    </cfRule>
  </conditionalFormatting>
  <conditionalFormatting sqref="F12:F14">
    <cfRule type="expression" dxfId="123" priority="221" stopIfTrue="1">
      <formula>IF((LEN($C12)&gt;0),TRUE,FALSE)*IF((OFFSET($C12,$A12,0)="LI6(N,A)T")+(OFFSET($C12,$A12,0)="B10(N,A)LI7"),TRUE,FALSE)</formula>
    </cfRule>
    <cfRule type="expression" dxfId="122" priority="222" stopIfTrue="1">
      <formula>IF((OFFSET($C12,$A12,0)="LI6(N,A)T")+(OFFSET($C12,$A12,0)="B10(N,A)LI7"),TRUE,FALSE)</formula>
    </cfRule>
    <cfRule type="expression" dxfId="121" priority="223" stopIfTrue="1">
      <formula>IF((LEN($C12)&gt;0),TRUE,FALSE)</formula>
    </cfRule>
  </conditionalFormatting>
  <conditionalFormatting sqref="AA8:AD8">
    <cfRule type="expression" dxfId="120" priority="217" stopIfTrue="1">
      <formula>$AJ$19&gt;0</formula>
    </cfRule>
  </conditionalFormatting>
  <conditionalFormatting sqref="D7">
    <cfRule type="expression" dxfId="119" priority="213" stopIfTrue="1">
      <formula>$A$3&gt;1</formula>
    </cfRule>
  </conditionalFormatting>
  <conditionalFormatting sqref="C12:D14 G12:J12 S12:T14 V12:V14 Q12:Q14 AG12:AH14 G13:H14 J13:J14 I13:I17">
    <cfRule type="expression" dxfId="118" priority="218" stopIfTrue="1">
      <formula>IF((LEN($C12)&gt;0),TRUE,FALSE)</formula>
    </cfRule>
  </conditionalFormatting>
  <conditionalFormatting sqref="AC12:AC14">
    <cfRule type="expression" dxfId="117" priority="249" stopIfTrue="1">
      <formula>IF(OFFSET($X12,$A12,0)="Yes",TRUE,FALSE)*IF((LEN($C12)&gt;0),TRUE,FALSE)</formula>
    </cfRule>
    <cfRule type="expression" dxfId="116" priority="250" stopIfTrue="1">
      <formula>IF(OFFSET($X12,$A12,0)="Yes",TRUE,FALSE)+IF(LEN($C12)=0,TRUE,FALSE)</formula>
    </cfRule>
    <cfRule type="expression" dxfId="115" priority="251" stopIfTrue="1">
      <formula>IF((LEN($C12)&gt;0),TRUE,FALSE)</formula>
    </cfRule>
  </conditionalFormatting>
  <conditionalFormatting sqref="E12:E14 L12:P14 R12:R14 X12:X14">
    <cfRule type="expression" dxfId="114" priority="219" stopIfTrue="1">
      <formula>IF(LEN($C12)=0,TRUE,FALSE)</formula>
    </cfRule>
    <cfRule type="expression" dxfId="113" priority="220" stopIfTrue="1">
      <formula>IF((LEN($C12)&gt;0),TRUE,FALSE)</formula>
    </cfRule>
  </conditionalFormatting>
  <conditionalFormatting sqref="AD15:AF15">
    <cfRule type="expression" dxfId="112" priority="201" stopIfTrue="1">
      <formula>IF(OFFSET($X15,$A15,0)="Yes",TRUE,FALSE)*IF((LEN($C15)&gt;0),TRUE,FALSE)</formula>
    </cfRule>
    <cfRule type="expression" dxfId="111" priority="202" stopIfTrue="1">
      <formula>IF(OFFSET($X15,$A15,0)="Yes",TRUE,FALSE)</formula>
    </cfRule>
    <cfRule type="expression" dxfId="110" priority="203" stopIfTrue="1">
      <formula>IF((LEN($C15)&gt;0),TRUE,FALSE)</formula>
    </cfRule>
  </conditionalFormatting>
  <conditionalFormatting sqref="AJ15:AK15">
    <cfRule type="expression" dxfId="109" priority="206" stopIfTrue="1">
      <formula>IF((LEN($C15)&gt;0),TRUE,FALSE)</formula>
    </cfRule>
  </conditionalFormatting>
  <conditionalFormatting sqref="AI15">
    <cfRule type="expression" dxfId="108" priority="204" stopIfTrue="1">
      <formula>NOT($A$6)*(ROW()&lt;ROW(hEpiThermInd)+$A$10/$A$9+1)</formula>
    </cfRule>
    <cfRule type="expression" dxfId="107" priority="205" stopIfTrue="1">
      <formula>IF((LEN($C15)&gt;0),TRUE,FALSE)</formula>
    </cfRule>
  </conditionalFormatting>
  <conditionalFormatting sqref="AA15:AB15">
    <cfRule type="expression" dxfId="106" priority="195" stopIfTrue="1">
      <formula>IF(OFFSET($X15,$A15,0)="No",TRUE,FALSE)*IF((LEN($C15)&gt;0),TRUE,FALSE)</formula>
    </cfRule>
    <cfRule type="expression" dxfId="105" priority="196" stopIfTrue="1">
      <formula>IF(OFFSET($X15,$A15,0)="No",TRUE,FALSE)</formula>
    </cfRule>
    <cfRule type="expression" dxfId="104" priority="197" stopIfTrue="1">
      <formula>IF((LEN($C15)&gt;0),TRUE,FALSE)</formula>
    </cfRule>
  </conditionalFormatting>
  <conditionalFormatting sqref="U15">
    <cfRule type="expression" dxfId="103" priority="189" stopIfTrue="1">
      <formula>IF((LEN($C15)&gt;0),TRUE,FALSE)*IF($U15&lt;=0.1,TRUE,FALSE)</formula>
    </cfRule>
    <cfRule type="cellIs" dxfId="102" priority="190" stopIfTrue="1" operator="lessThanOrEqual">
      <formula>0.1</formula>
    </cfRule>
    <cfRule type="expression" dxfId="101" priority="191" stopIfTrue="1">
      <formula>IF((LEN($C15)&gt;0),TRUE,FALSE)</formula>
    </cfRule>
  </conditionalFormatting>
  <conditionalFormatting sqref="K15">
    <cfRule type="expression" dxfId="100" priority="186" stopIfTrue="1">
      <formula>IF(LEN($C15)=0,TRUE,FALSE)</formula>
    </cfRule>
    <cfRule type="expression" dxfId="99" priority="187" stopIfTrue="1">
      <formula>IF($H15=1,FALSE,IF((LEN($C15)&gt;0)*($H15&lt;&gt;""),TRUE,FALSE))</formula>
    </cfRule>
    <cfRule type="expression" dxfId="98" priority="188" stopIfTrue="1">
      <formula>IF((LEN($C15)&gt;0),TRUE,FALSE)</formula>
    </cfRule>
  </conditionalFormatting>
  <conditionalFormatting sqref="F15">
    <cfRule type="expression" dxfId="97" priority="183" stopIfTrue="1">
      <formula>IF((LEN($C15)&gt;0),TRUE,FALSE)*IF((OFFSET($C15,$A15,0)="LI6(N,A)T")+(OFFSET($C15,$A15,0)="B10(N,A)LI7"),TRUE,FALSE)</formula>
    </cfRule>
    <cfRule type="expression" dxfId="96" priority="184" stopIfTrue="1">
      <formula>IF((OFFSET($C15,$A15,0)="LI6(N,A)T")+(OFFSET($C15,$A15,0)="B10(N,A)LI7"),TRUE,FALSE)</formula>
    </cfRule>
    <cfRule type="expression" dxfId="95" priority="185" stopIfTrue="1">
      <formula>IF((LEN($C15)&gt;0),TRUE,FALSE)</formula>
    </cfRule>
  </conditionalFormatting>
  <conditionalFormatting sqref="C15:D15 G15:H15 S15:T15 V15 Q15 AG15:AH15 J15">
    <cfRule type="expression" dxfId="94" priority="180" stopIfTrue="1">
      <formula>IF((LEN($C15)&gt;0),TRUE,FALSE)</formula>
    </cfRule>
  </conditionalFormatting>
  <conditionalFormatting sqref="AC15">
    <cfRule type="expression" dxfId="93" priority="198" stopIfTrue="1">
      <formula>IF(OFFSET($X15,$A15,0)="Yes",TRUE,FALSE)*IF((LEN($C15)&gt;0),TRUE,FALSE)</formula>
    </cfRule>
    <cfRule type="expression" dxfId="92" priority="199" stopIfTrue="1">
      <formula>IF(OFFSET($X15,$A15,0)="Yes",TRUE,FALSE)+IF(LEN($C15)=0,TRUE,FALSE)</formula>
    </cfRule>
    <cfRule type="expression" dxfId="91" priority="200" stopIfTrue="1">
      <formula>IF((LEN($C15)&gt;0),TRUE,FALSE)</formula>
    </cfRule>
  </conditionalFormatting>
  <conditionalFormatting sqref="E15 L15:P15 R15 X15">
    <cfRule type="expression" dxfId="90" priority="181" stopIfTrue="1">
      <formula>IF(LEN($C15)=0,TRUE,FALSE)</formula>
    </cfRule>
    <cfRule type="expression" dxfId="89" priority="182" stopIfTrue="1">
      <formula>IF((LEN($C15)&gt;0),TRUE,FALSE)</formula>
    </cfRule>
  </conditionalFormatting>
  <conditionalFormatting sqref="AD16:AF16">
    <cfRule type="expression" dxfId="88" priority="174" stopIfTrue="1">
      <formula>IF(OFFSET($X16,$A16,0)="Yes",TRUE,FALSE)*IF((LEN($C16)&gt;0),TRUE,FALSE)</formula>
    </cfRule>
    <cfRule type="expression" dxfId="87" priority="175" stopIfTrue="1">
      <formula>IF(OFFSET($X16,$A16,0)="Yes",TRUE,FALSE)</formula>
    </cfRule>
    <cfRule type="expression" dxfId="86" priority="176" stopIfTrue="1">
      <formula>IF((LEN($C16)&gt;0),TRUE,FALSE)</formula>
    </cfRule>
  </conditionalFormatting>
  <conditionalFormatting sqref="AJ16:AK16">
    <cfRule type="expression" dxfId="85" priority="179" stopIfTrue="1">
      <formula>IF((LEN($C16)&gt;0),TRUE,FALSE)</formula>
    </cfRule>
  </conditionalFormatting>
  <conditionalFormatting sqref="AI16">
    <cfRule type="expression" dxfId="84" priority="177" stopIfTrue="1">
      <formula>NOT($A$6)*(ROW()&lt;ROW(hEpiThermInd)+$A$10/$A$9+1)</formula>
    </cfRule>
    <cfRule type="expression" dxfId="83" priority="178" stopIfTrue="1">
      <formula>IF((LEN($C16)&gt;0),TRUE,FALSE)</formula>
    </cfRule>
  </conditionalFormatting>
  <conditionalFormatting sqref="AA16:AB16">
    <cfRule type="expression" dxfId="82" priority="168" stopIfTrue="1">
      <formula>IF(OFFSET($X16,$A16,0)="No",TRUE,FALSE)*IF((LEN($C16)&gt;0),TRUE,FALSE)</formula>
    </cfRule>
    <cfRule type="expression" dxfId="81" priority="169" stopIfTrue="1">
      <formula>IF(OFFSET($X16,$A16,0)="No",TRUE,FALSE)</formula>
    </cfRule>
    <cfRule type="expression" dxfId="80" priority="170" stopIfTrue="1">
      <formula>IF((LEN($C16)&gt;0),TRUE,FALSE)</formula>
    </cfRule>
  </conditionalFormatting>
  <conditionalFormatting sqref="U16">
    <cfRule type="expression" dxfId="79" priority="162" stopIfTrue="1">
      <formula>IF((LEN($C16)&gt;0),TRUE,FALSE)*IF($U16&lt;=0.1,TRUE,FALSE)</formula>
    </cfRule>
    <cfRule type="cellIs" dxfId="78" priority="163" stopIfTrue="1" operator="lessThanOrEqual">
      <formula>0.1</formula>
    </cfRule>
    <cfRule type="expression" dxfId="77" priority="164" stopIfTrue="1">
      <formula>IF((LEN($C16)&gt;0),TRUE,FALSE)</formula>
    </cfRule>
  </conditionalFormatting>
  <conditionalFormatting sqref="K16">
    <cfRule type="expression" dxfId="76" priority="159" stopIfTrue="1">
      <formula>IF(LEN($C16)=0,TRUE,FALSE)</formula>
    </cfRule>
    <cfRule type="expression" dxfId="75" priority="160" stopIfTrue="1">
      <formula>IF($H16=1,FALSE,IF((LEN($C16)&gt;0)*($H16&lt;&gt;""),TRUE,FALSE))</formula>
    </cfRule>
    <cfRule type="expression" dxfId="74" priority="161" stopIfTrue="1">
      <formula>IF((LEN($C16)&gt;0),TRUE,FALSE)</formula>
    </cfRule>
  </conditionalFormatting>
  <conditionalFormatting sqref="F16">
    <cfRule type="expression" dxfId="73" priority="156" stopIfTrue="1">
      <formula>IF((LEN($C16)&gt;0),TRUE,FALSE)*IF((OFFSET($C16,$A16,0)="LI6(N,A)T")+(OFFSET($C16,$A16,0)="B10(N,A)LI7"),TRUE,FALSE)</formula>
    </cfRule>
    <cfRule type="expression" dxfId="72" priority="157" stopIfTrue="1">
      <formula>IF((OFFSET($C16,$A16,0)="LI6(N,A)T")+(OFFSET($C16,$A16,0)="B10(N,A)LI7"),TRUE,FALSE)</formula>
    </cfRule>
    <cfRule type="expression" dxfId="71" priority="158" stopIfTrue="1">
      <formula>IF((LEN($C16)&gt;0),TRUE,FALSE)</formula>
    </cfRule>
  </conditionalFormatting>
  <conditionalFormatting sqref="C16:D16 G16:H16 S16:T16 V16 Q16 AG16:AH16 J16">
    <cfRule type="expression" dxfId="70" priority="153" stopIfTrue="1">
      <formula>IF((LEN($C16)&gt;0),TRUE,FALSE)</formula>
    </cfRule>
  </conditionalFormatting>
  <conditionalFormatting sqref="AC16">
    <cfRule type="expression" dxfId="69" priority="171" stopIfTrue="1">
      <formula>IF(OFFSET($X16,$A16,0)="Yes",TRUE,FALSE)*IF((LEN($C16)&gt;0),TRUE,FALSE)</formula>
    </cfRule>
    <cfRule type="expression" dxfId="68" priority="172" stopIfTrue="1">
      <formula>IF(OFFSET($X16,$A16,0)="Yes",TRUE,FALSE)+IF(LEN($C16)=0,TRUE,FALSE)</formula>
    </cfRule>
    <cfRule type="expression" dxfId="67" priority="173" stopIfTrue="1">
      <formula>IF((LEN($C16)&gt;0),TRUE,FALSE)</formula>
    </cfRule>
  </conditionalFormatting>
  <conditionalFormatting sqref="E16 L16:P16 R16 X16">
    <cfRule type="expression" dxfId="66" priority="154" stopIfTrue="1">
      <formula>IF(LEN($C16)=0,TRUE,FALSE)</formula>
    </cfRule>
    <cfRule type="expression" dxfId="65" priority="155" stopIfTrue="1">
      <formula>IF((LEN($C16)&gt;0),TRUE,FALSE)</formula>
    </cfRule>
  </conditionalFormatting>
  <conditionalFormatting sqref="AD17:AF17">
    <cfRule type="expression" dxfId="64" priority="147" stopIfTrue="1">
      <formula>IF(OFFSET($X17,$A17,0)="Yes",TRUE,FALSE)*IF((LEN($C17)&gt;0),TRUE,FALSE)</formula>
    </cfRule>
    <cfRule type="expression" dxfId="63" priority="148" stopIfTrue="1">
      <formula>IF(OFFSET($X17,$A17,0)="Yes",TRUE,FALSE)</formula>
    </cfRule>
    <cfRule type="expression" dxfId="62" priority="149" stopIfTrue="1">
      <formula>IF((LEN($C17)&gt;0),TRUE,FALSE)</formula>
    </cfRule>
  </conditionalFormatting>
  <conditionalFormatting sqref="AJ17:AK17">
    <cfRule type="expression" dxfId="61" priority="152" stopIfTrue="1">
      <formula>IF((LEN($C17)&gt;0),TRUE,FALSE)</formula>
    </cfRule>
  </conditionalFormatting>
  <conditionalFormatting sqref="AI17">
    <cfRule type="expression" dxfId="60" priority="150" stopIfTrue="1">
      <formula>NOT($A$6)*(ROW()&lt;ROW(hEpiThermInd)+$A$10/$A$9+1)</formula>
    </cfRule>
    <cfRule type="expression" dxfId="59" priority="151" stopIfTrue="1">
      <formula>IF((LEN($C17)&gt;0),TRUE,FALSE)</formula>
    </cfRule>
  </conditionalFormatting>
  <conditionalFormatting sqref="AA17:AB17">
    <cfRule type="expression" dxfId="58" priority="141" stopIfTrue="1">
      <formula>IF(OFFSET($X17,$A17,0)="No",TRUE,FALSE)*IF((LEN($C17)&gt;0),TRUE,FALSE)</formula>
    </cfRule>
    <cfRule type="expression" dxfId="57" priority="142" stopIfTrue="1">
      <formula>IF(OFFSET($X17,$A17,0)="No",TRUE,FALSE)</formula>
    </cfRule>
    <cfRule type="expression" dxfId="56" priority="143" stopIfTrue="1">
      <formula>IF((LEN($C17)&gt;0),TRUE,FALSE)</formula>
    </cfRule>
  </conditionalFormatting>
  <conditionalFormatting sqref="U17">
    <cfRule type="expression" dxfId="55" priority="135" stopIfTrue="1">
      <formula>IF((LEN($C17)&gt;0),TRUE,FALSE)*IF($U17&lt;=0.1,TRUE,FALSE)</formula>
    </cfRule>
    <cfRule type="cellIs" dxfId="54" priority="136" stopIfTrue="1" operator="lessThanOrEqual">
      <formula>0.1</formula>
    </cfRule>
    <cfRule type="expression" dxfId="53" priority="137" stopIfTrue="1">
      <formula>IF((LEN($C17)&gt;0),TRUE,FALSE)</formula>
    </cfRule>
  </conditionalFormatting>
  <conditionalFormatting sqref="K17">
    <cfRule type="expression" dxfId="52" priority="132" stopIfTrue="1">
      <formula>IF(LEN($C17)=0,TRUE,FALSE)</formula>
    </cfRule>
    <cfRule type="expression" dxfId="51" priority="133" stopIfTrue="1">
      <formula>IF($H17=1,FALSE,IF((LEN($C17)&gt;0)*($H17&lt;&gt;""),TRUE,FALSE))</formula>
    </cfRule>
    <cfRule type="expression" dxfId="50" priority="134" stopIfTrue="1">
      <formula>IF((LEN($C17)&gt;0),TRUE,FALSE)</formula>
    </cfRule>
  </conditionalFormatting>
  <conditionalFormatting sqref="F17">
    <cfRule type="expression" dxfId="49" priority="129" stopIfTrue="1">
      <formula>IF((LEN($C17)&gt;0),TRUE,FALSE)*IF((OFFSET($C17,$A17,0)="LI6(N,A)T")+(OFFSET($C17,$A17,0)="B10(N,A)LI7"),TRUE,FALSE)</formula>
    </cfRule>
    <cfRule type="expression" dxfId="48" priority="130" stopIfTrue="1">
      <formula>IF((OFFSET($C17,$A17,0)="LI6(N,A)T")+(OFFSET($C17,$A17,0)="B10(N,A)LI7"),TRUE,FALSE)</formula>
    </cfRule>
    <cfRule type="expression" dxfId="47" priority="131" stopIfTrue="1">
      <formula>IF((LEN($C17)&gt;0),TRUE,FALSE)</formula>
    </cfRule>
  </conditionalFormatting>
  <conditionalFormatting sqref="C17:D17 G17:H17 S17:T17 V17 Q17 AG17:AH17 J17">
    <cfRule type="expression" dxfId="46" priority="126" stopIfTrue="1">
      <formula>IF((LEN($C17)&gt;0),TRUE,FALSE)</formula>
    </cfRule>
  </conditionalFormatting>
  <conditionalFormatting sqref="AC17">
    <cfRule type="expression" dxfId="45" priority="144" stopIfTrue="1">
      <formula>IF(OFFSET($X17,$A17,0)="Yes",TRUE,FALSE)*IF((LEN($C17)&gt;0),TRUE,FALSE)</formula>
    </cfRule>
    <cfRule type="expression" dxfId="44" priority="145" stopIfTrue="1">
      <formula>IF(OFFSET($X17,$A17,0)="Yes",TRUE,FALSE)+IF(LEN($C17)=0,TRUE,FALSE)</formula>
    </cfRule>
    <cfRule type="expression" dxfId="43" priority="146" stopIfTrue="1">
      <formula>IF((LEN($C17)&gt;0),TRUE,FALSE)</formula>
    </cfRule>
  </conditionalFormatting>
  <conditionalFormatting sqref="Y17:Z17">
    <cfRule type="expression" dxfId="42" priority="138" stopIfTrue="1">
      <formula>IF(OFFSET($X17,$A17,0)="No",TRUE,FALSE)*IF((LEN($C17)&gt;0),TRUE,FALSE)</formula>
    </cfRule>
    <cfRule type="expression" dxfId="41" priority="139" stopIfTrue="1">
      <formula>IF(OFFSET($X17,$A17,0)="No",TRUE,FALSE)+IF(LEN($C17)=0,TRUE,FALSE)</formula>
    </cfRule>
    <cfRule type="expression" dxfId="40" priority="140" stopIfTrue="1">
      <formula>IF((LEN($C17)&gt;0),TRUE,FALSE)</formula>
    </cfRule>
  </conditionalFormatting>
  <conditionalFormatting sqref="E17 L17:P17 R17 X17">
    <cfRule type="expression" dxfId="39" priority="127" stopIfTrue="1">
      <formula>IF(LEN($C17)=0,TRUE,FALSE)</formula>
    </cfRule>
    <cfRule type="expression" dxfId="38" priority="128" stopIfTrue="1">
      <formula>IF((LEN($C17)&gt;0),TRUE,FALSE)</formula>
    </cfRule>
  </conditionalFormatting>
  <conditionalFormatting sqref="Y12:Z14">
    <cfRule type="expression" dxfId="37" priority="39" stopIfTrue="1">
      <formula>IF(OFFSET($X12,$A12,0)="No",TRUE,FALSE)*IF((LEN($C12)&gt;0),TRUE,FALSE)</formula>
    </cfRule>
    <cfRule type="expression" dxfId="36" priority="40" stopIfTrue="1">
      <formula>IF(OFFSET($X12,$A12,0)="No",TRUE,FALSE)+IF(LEN($C12)=0,TRUE,FALSE)</formula>
    </cfRule>
    <cfRule type="expression" dxfId="35" priority="41" stopIfTrue="1">
      <formula>IF((LEN($C12)&gt;0),TRUE,FALSE)</formula>
    </cfRule>
  </conditionalFormatting>
  <conditionalFormatting sqref="Y15:Z15">
    <cfRule type="expression" dxfId="34" priority="36" stopIfTrue="1">
      <formula>IF(OFFSET($X15,$A15,0)="No",TRUE,FALSE)*IF((LEN($C15)&gt;0),TRUE,FALSE)</formula>
    </cfRule>
    <cfRule type="expression" dxfId="33" priority="37" stopIfTrue="1">
      <formula>IF(OFFSET($X15,$A15,0)="No",TRUE,FALSE)+IF(LEN($C15)=0,TRUE,FALSE)</formula>
    </cfRule>
    <cfRule type="expression" dxfId="32" priority="38" stopIfTrue="1">
      <formula>IF((LEN($C15)&gt;0),TRUE,FALSE)</formula>
    </cfRule>
  </conditionalFormatting>
  <conditionalFormatting sqref="Y16:Z16">
    <cfRule type="expression" dxfId="31" priority="33" stopIfTrue="1">
      <formula>IF(OFFSET($X16,$A16,0)="No",TRUE,FALSE)*IF((LEN($C16)&gt;0),TRUE,FALSE)</formula>
    </cfRule>
    <cfRule type="expression" dxfId="30" priority="34" stopIfTrue="1">
      <formula>IF(OFFSET($X16,$A16,0)="No",TRUE,FALSE)+IF(LEN($C16)=0,TRUE,FALSE)</formula>
    </cfRule>
    <cfRule type="expression" dxfId="29" priority="35" stopIfTrue="1">
      <formula>IF((LEN($C16)&gt;0),TRUE,FALSE)</formula>
    </cfRule>
  </conditionalFormatting>
  <conditionalFormatting sqref="I18">
    <cfRule type="expression" dxfId="28" priority="32" stopIfTrue="1">
      <formula>IF((LEN($C18)&gt;0),TRUE,FALSE)</formula>
    </cfRule>
  </conditionalFormatting>
  <conditionalFormatting sqref="AD18:AF18">
    <cfRule type="expression" dxfId="27" priority="26" stopIfTrue="1">
      <formula>IF(OFFSET($X18,$A18,0)="Yes",TRUE,FALSE)*IF((LEN($C18)&gt;0),TRUE,FALSE)</formula>
    </cfRule>
    <cfRule type="expression" dxfId="26" priority="27" stopIfTrue="1">
      <formula>IF(OFFSET($X18,$A18,0)="Yes",TRUE,FALSE)</formula>
    </cfRule>
    <cfRule type="expression" dxfId="25" priority="28" stopIfTrue="1">
      <formula>IF((LEN($C18)&gt;0),TRUE,FALSE)</formula>
    </cfRule>
  </conditionalFormatting>
  <conditionalFormatting sqref="AJ18:AK18">
    <cfRule type="expression" dxfId="24" priority="31" stopIfTrue="1">
      <formula>IF((LEN($C18)&gt;0),TRUE,FALSE)</formula>
    </cfRule>
  </conditionalFormatting>
  <conditionalFormatting sqref="AI18">
    <cfRule type="expression" dxfId="23" priority="29" stopIfTrue="1">
      <formula>NOT($A$6)*(ROW()&lt;ROW(hEpiThermInd)+$A$10/$A$9+1)</formula>
    </cfRule>
    <cfRule type="expression" dxfId="22" priority="30" stopIfTrue="1">
      <formula>IF((LEN($C18)&gt;0),TRUE,FALSE)</formula>
    </cfRule>
  </conditionalFormatting>
  <conditionalFormatting sqref="AA18:AB18">
    <cfRule type="expression" dxfId="21" priority="20" stopIfTrue="1">
      <formula>IF(OFFSET($X18,$A18,0)="No",TRUE,FALSE)*IF((LEN($C18)&gt;0),TRUE,FALSE)</formula>
    </cfRule>
    <cfRule type="expression" dxfId="20" priority="21" stopIfTrue="1">
      <formula>IF(OFFSET($X18,$A18,0)="No",TRUE,FALSE)</formula>
    </cfRule>
    <cfRule type="expression" dxfId="19" priority="22" stopIfTrue="1">
      <formula>IF((LEN($C18)&gt;0),TRUE,FALSE)</formula>
    </cfRule>
  </conditionalFormatting>
  <conditionalFormatting sqref="U18">
    <cfRule type="expression" dxfId="18" priority="14" stopIfTrue="1">
      <formula>IF((LEN($C18)&gt;0),TRUE,FALSE)*IF($U18&lt;=0.1,TRUE,FALSE)</formula>
    </cfRule>
    <cfRule type="cellIs" dxfId="17" priority="15" stopIfTrue="1" operator="lessThanOrEqual">
      <formula>0.1</formula>
    </cfRule>
    <cfRule type="expression" dxfId="16" priority="16" stopIfTrue="1">
      <formula>IF((LEN($C18)&gt;0),TRUE,FALSE)</formula>
    </cfRule>
  </conditionalFormatting>
  <conditionalFormatting sqref="K18">
    <cfRule type="expression" dxfId="15" priority="11" stopIfTrue="1">
      <formula>IF(LEN($C18)=0,TRUE,FALSE)</formula>
    </cfRule>
    <cfRule type="expression" dxfId="14" priority="12" stopIfTrue="1">
      <formula>IF($H18=1,FALSE,IF((LEN($C18)&gt;0)*($H18&lt;&gt;""),TRUE,FALSE))</formula>
    </cfRule>
    <cfRule type="expression" dxfId="13" priority="13" stopIfTrue="1">
      <formula>IF((LEN($C18)&gt;0),TRUE,FALSE)</formula>
    </cfRule>
  </conditionalFormatting>
  <conditionalFormatting sqref="D18 G18:H18 S18:T18 V18 Q18 AG18:AH18 J18">
    <cfRule type="expression" dxfId="12" priority="5" stopIfTrue="1">
      <formula>IF((LEN($C18)&gt;0),TRUE,FALSE)</formula>
    </cfRule>
  </conditionalFormatting>
  <conditionalFormatting sqref="AC18">
    <cfRule type="expression" dxfId="11" priority="23" stopIfTrue="1">
      <formula>IF(OFFSET($X18,$A18,0)="Yes",TRUE,FALSE)*IF((LEN($C18)&gt;0),TRUE,FALSE)</formula>
    </cfRule>
    <cfRule type="expression" dxfId="10" priority="24" stopIfTrue="1">
      <formula>IF(OFFSET($X18,$A18,0)="Yes",TRUE,FALSE)+IF(LEN($C18)=0,TRUE,FALSE)</formula>
    </cfRule>
    <cfRule type="expression" dxfId="9" priority="25" stopIfTrue="1">
      <formula>IF((LEN($C18)&gt;0),TRUE,FALSE)</formula>
    </cfRule>
  </conditionalFormatting>
  <conditionalFormatting sqref="Y18:Z18">
    <cfRule type="expression" dxfId="8" priority="17" stopIfTrue="1">
      <formula>IF(OFFSET($X18,$A18,0)="No",TRUE,FALSE)*IF((LEN($C18)&gt;0),TRUE,FALSE)</formula>
    </cfRule>
    <cfRule type="expression" dxfId="7" priority="18" stopIfTrue="1">
      <formula>IF(OFFSET($X18,$A18,0)="No",TRUE,FALSE)+IF(LEN($C18)=0,TRUE,FALSE)</formula>
    </cfRule>
    <cfRule type="expression" dxfId="6" priority="19" stopIfTrue="1">
      <formula>IF((LEN($C18)&gt;0),TRUE,FALSE)</formula>
    </cfRule>
  </conditionalFormatting>
  <conditionalFormatting sqref="E18 L18:P18 R18 X18">
    <cfRule type="expression" dxfId="5" priority="6" stopIfTrue="1">
      <formula>IF(LEN($C18)=0,TRUE,FALSE)</formula>
    </cfRule>
    <cfRule type="expression" dxfId="4" priority="7" stopIfTrue="1">
      <formula>IF((LEN($C18)&gt;0),TRUE,FALSE)</formula>
    </cfRule>
  </conditionalFormatting>
  <conditionalFormatting sqref="C18">
    <cfRule type="expression" dxfId="3" priority="4" stopIfTrue="1">
      <formula>IF((LEN($C18)&gt;0),TRUE,FALSE)</formula>
    </cfRule>
  </conditionalFormatting>
  <conditionalFormatting sqref="F18">
    <cfRule type="expression" dxfId="2" priority="1" stopIfTrue="1">
      <formula>IF((LEN($C18)&gt;0),TRUE,FALSE)*IF((OFFSET($C18,$A18,0)="LI6(N,A)T")+(OFFSET($C18,$A18,0)="B10(N,A)LI7"),TRUE,FALSE)</formula>
    </cfRule>
    <cfRule type="expression" dxfId="1" priority="2" stopIfTrue="1">
      <formula>IF((OFFSET($C18,$A18,0)="LI6(N,A)T")+(OFFSET($C18,$A18,0)="B10(N,A)LI7"),TRUE,FALSE)</formula>
    </cfRule>
    <cfRule type="expression" dxfId="0" priority="3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2018-11-25T19:42:17Z</dcterms:modified>
</cp:coreProperties>
</file>