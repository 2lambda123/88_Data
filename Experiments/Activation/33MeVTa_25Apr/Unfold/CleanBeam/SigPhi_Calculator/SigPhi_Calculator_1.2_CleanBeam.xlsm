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F18" i="1"/>
  <c r="G14" i="1"/>
  <c r="F14" i="1"/>
  <c r="G13" i="1"/>
  <c r="F13" i="1"/>
  <c r="G16" i="1"/>
  <c r="F16" i="1"/>
  <c r="F15" i="1"/>
  <c r="G12" i="1"/>
  <c r="F12" i="1"/>
  <c r="G17" i="1" l="1"/>
  <c r="F17" i="1"/>
  <c r="G15" i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4" i="1"/>
  <c r="U13" i="1"/>
  <c r="U15" i="1"/>
  <c r="U16" i="1"/>
  <c r="U12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C14" i="3"/>
  <c r="D14" i="3"/>
  <c r="B15" i="3"/>
  <c r="AA12" i="1" l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<sst xmlns="http://schemas.openxmlformats.org/spreadsheetml/2006/main" count="1254" uniqueCount="659">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</sst>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576968"/>
        <c:axId val="428577360"/>
      </c:scatterChart>
      <c:valAx>
        <c:axId val="428576968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577360"/>
        <c:crosses val="autoZero"/>
        <c:crossBetween val="midCat"/>
        <c:majorUnit val="1"/>
        <c:minorUnit val="0.25"/>
      </c:valAx>
      <c:valAx>
        <c:axId val="42857736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576968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6" activePane="bottomRight" state="frozenSplit"/>
      <selection pane="topRight" activeCell="D1" sqref="D1"/>
      <selection pane="bottomLeft" activeCell="A5" sqref="A5"/>
      <selection pane="bottomRight" activeCell="A72" sqref="A72:XFD7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T12" activePane="bottomRight" state="frozenSplit"/>
      <selection activeCell="A10" sqref="A10"/>
      <selection pane="topRight" activeCell="C10" sqref="C10"/>
      <selection pane="bottomLeft" activeCell="A4" sqref="A4"/>
      <selection pane="bottomRight" activeCell="H18" sqref="H18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2713.62/5.306</f>
        <v>511.42480211081789</v>
      </c>
      <c r="G12" s="166">
        <f>121.33/2004.6</f>
        <v>6.0525790681432705E-2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2.2929007944279399E-20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2.2929007944279399E-20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224.67/5.306</f>
        <v>42.342630983791928</v>
      </c>
      <c r="G13" s="166">
        <f>3.91/224.67</f>
        <v>1.7403302621622825E-2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1.9834106719838346E-20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1.9834106719838346E-20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17.82/16.934</f>
        <v>1.0523207747726466</v>
      </c>
      <c r="G14" s="166">
        <f>0.48/17.28</f>
        <v>2.7777777777777776E-2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3.7402322378655577E-21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3.7402322378655577E-21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1719.23/14.326</f>
        <v>120.00767834706129</v>
      </c>
      <c r="G15" s="166">
        <f>22.92/1719.23</f>
        <v>1.3331549589060219E-2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8.7902817372031256E-20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0.99999999999999889</v>
      </c>
      <c r="V15" s="51">
        <f t="shared" ca="1" si="9"/>
        <v>8.7902817372031352E-20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28.19/3.298</f>
        <v>8.5476046088538506</v>
      </c>
      <c r="G16" s="166">
        <f>1.09/28.36</f>
        <v>3.8434414668547252E-2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2.8142182156760751E-19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2.8142182156760751E-19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17.79/3.298</f>
        <v>5.3941782898726496</v>
      </c>
      <c r="G17" s="166">
        <f>0.45/17.79</f>
        <v>2.5295109612141653E-2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7.7695455944395191E-20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0.99999999999998535</v>
      </c>
      <c r="V17" s="51">
        <f t="shared" ca="1" si="9"/>
        <v>7.7695455944396335E-20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6192017.7405097159</v>
      </c>
      <c r="AF17" s="112">
        <f ca="1">IF((OFFSET($X17,$A17,0)="Yes")+($F17="")+ISERROR($V17),"",IF(($U17&lt;=0.1)*(AK17&gt;3),"",$AE17/$AD17))</f>
        <v>370687.2996835743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5330.86/14.326</f>
        <v>372.11084741030288</v>
      </c>
      <c r="G18" s="166">
        <f>116.2/5388.7</f>
        <v>2.15636424369514E-2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9.2892209929561207E-20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9.2892209929561267E-20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4538445.7024068283</v>
      </c>
      <c r="AF18" s="112">
        <f ca="1">IF((OFFSET($X18,$A18,0)="Yes")+($F18="")+ISERROR($V18),"",IF(($U18&lt;=0.1)*(AK18&gt;3),"",$AE18/$AD18))</f>
        <v>255396.6298802864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3.13E+05  (26.04%)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26.042136070233997</v>
      </c>
      <c r="AJ20" s="96">
        <f ca="1">AvgThemalFluence(D20)</f>
        <v>313041.96478193032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26.042136070233997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2018-08-08T00:30:26Z</dcterms:modified>
</cp:coreProperties>
</file>