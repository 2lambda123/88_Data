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\SigPhi_Calculator\"/>
    </mc:Choice>
  </mc:AlternateContent>
  <bookViews>
    <workbookView xWindow="-15" yWindow="-15" windowWidth="14115" windowHeight="4365" tabRatio="575" firstSheet="2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8" i="1" l="1"/>
  <c r="G17" i="1"/>
  <c r="G16" i="1"/>
  <c r="G15" i="1"/>
  <c r="G13" i="1"/>
  <c r="G12" i="1"/>
  <c r="F18" i="1"/>
  <c r="F16" i="1"/>
  <c r="F17" i="1"/>
  <c r="F15" i="1"/>
  <c r="G14" i="1"/>
  <c r="F14" i="1"/>
  <c r="F13" i="1"/>
  <c r="F12" i="1"/>
  <c r="AH18" i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K14" i="1" l="1"/>
  <c r="O14" i="1" s="1"/>
  <c r="AB18" i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L14" i="1"/>
  <c r="X13" i="1"/>
  <c r="M13" i="1"/>
  <c r="L13" i="1"/>
  <c r="E5" i="1"/>
  <c r="E6" i="1"/>
  <c r="D5" i="1"/>
  <c r="D7" i="1" s="1"/>
  <c r="M14" i="1"/>
  <c r="X14" i="1"/>
  <c r="N14" i="1"/>
  <c r="P14" i="1" s="1"/>
  <c r="O13" i="1"/>
  <c r="K13" i="1" s="1"/>
  <c r="N13" i="1"/>
  <c r="P13" i="1" s="1"/>
  <c r="AJ14" i="1"/>
  <c r="B9" i="3"/>
  <c r="D8" i="3"/>
  <c r="AI18" i="1" l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S14" i="1" s="1"/>
  <c r="AC14" i="1"/>
  <c r="Q13" i="1" a="1"/>
  <c r="Q13" i="1" s="1"/>
  <c r="S13" i="1" s="1"/>
  <c r="D9" i="3"/>
  <c r="C9" i="3"/>
  <c r="B10" i="3"/>
  <c r="AI14" i="1"/>
  <c r="T14" i="1" s="1"/>
  <c r="D14" i="1"/>
  <c r="AG14" i="1" s="1"/>
  <c r="AC17" i="1" l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6" i="1"/>
  <c r="U13" i="1"/>
  <c r="U14" i="1"/>
  <c r="U12" i="1"/>
  <c r="U15" i="1"/>
  <c r="V14" i="1" l="1"/>
  <c r="AE14" i="1" s="1"/>
  <c r="V12" i="1"/>
  <c r="AE12" i="1" s="1"/>
  <c r="V15" i="1"/>
  <c r="AF15" i="1" s="1"/>
  <c r="V16" i="1"/>
  <c r="AE16" i="1" s="1"/>
  <c r="V13" i="1"/>
  <c r="AF13" i="1" s="1"/>
  <c r="AB12" i="1"/>
  <c r="C14" i="3"/>
  <c r="D14" i="3"/>
  <c r="B15" i="3"/>
  <c r="AA12" i="1" l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A20" i="1" l="1" a="1"/>
  <c r="AA20" i="1" s="1"/>
  <c r="AF20" i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<sst xmlns="http://schemas.openxmlformats.org/spreadsheetml/2006/main" count="1254" uniqueCount="659">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</sst>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8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169472"/>
        <c:axId val="439169864"/>
      </c:scatterChart>
      <c:valAx>
        <c:axId val="439169472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169864"/>
        <c:crosses val="autoZero"/>
        <c:crossBetween val="midCat"/>
        <c:majorUnit val="1"/>
        <c:minorUnit val="0.25"/>
      </c:valAx>
      <c:valAx>
        <c:axId val="439169864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169472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0" activePane="bottomRight" state="frozenSplit"/>
      <selection pane="topRight" activeCell="D1" sqref="D1"/>
      <selection pane="bottomLeft" activeCell="A5" sqref="A5"/>
      <selection pane="bottomRight" activeCell="C62" sqref="C6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zoomScale="120" zoomScaleNormal="120" workbookViewId="0">
      <selection activeCell="A3" sqref="A3:H61"/>
    </sheetView>
  </sheetViews>
  <sheetFormatPr defaultColWidth="8.7109375" defaultRowHeight="12.75" x14ac:dyDescent="0.2"/>
  <cols>
    <col min="1" max="1" width="8.7109375" style="115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Y14" sqref="Y14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1726.6/5.306</f>
        <v>325.40520165849978</v>
      </c>
      <c r="G12" s="166">
        <f>69.2/1726.6</f>
        <v>4.0078767519981469E-2</v>
      </c>
      <c r="H12" s="125">
        <v>1</v>
      </c>
      <c r="I12" s="125" t="s">
        <v>33</v>
      </c>
      <c r="J12" s="125">
        <v>39.880000000000003</v>
      </c>
      <c r="K12" s="195">
        <f t="shared" ref="K12:K14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1.4589082154683709E-20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1.4589082154683709E-20</v>
      </c>
      <c r="X12" s="200" t="str">
        <f t="shared" ref="X12:X18" ca="1" si="10">IF($A12=0,INDEX(RxnData,$AK12,6),"")</f>
        <v>Yes</v>
      </c>
      <c r="Y12" s="201"/>
      <c r="Z12" s="201"/>
      <c r="AA12" s="53" t="e">
        <f t="shared" ref="AA12:AA18" ca="1" si="11">IF((OFFSET($X12,$A12,0)="No")+($F12="")+ISERROR($V12),"",$V12*($D$7*86400)*(1E+24/OFFSET($Y12,$A12,0)))</f>
        <v>#DIV/0!</v>
      </c>
      <c r="AB12" s="53" t="e">
        <f t="shared" ref="AB12:AB18" ca="1" si="12">IF((OFFSET($X12,$A12,0)="No")+($F12="")+ISERROR($V12),"",$V12*($D$7*86400)*(1E+24/OFFSET($Z12,$A12,0)))</f>
        <v>#DIV/0!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198.8/5.306</f>
        <v>37.467018469656992</v>
      </c>
      <c r="G13" s="166">
        <f>4/198.8</f>
        <v>2.0120724346076459E-2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1.7550275585987734E-20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1.7550275585987734E-20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17.31/16.934</f>
        <v>1.0222038502421162</v>
      </c>
      <c r="G14" s="166">
        <f>0.39/17.31</f>
        <v>2.2530329289428077E-2</v>
      </c>
      <c r="H14" s="125">
        <v>0.98980000000000001</v>
      </c>
      <c r="I14" s="125" t="s">
        <v>33</v>
      </c>
      <c r="J14" s="125">
        <v>39.369999999999997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0.97706991283874867</v>
      </c>
      <c r="R14" s="197">
        <f t="shared" ca="1" si="6"/>
        <v>1</v>
      </c>
      <c r="S14" s="51">
        <f t="shared" ca="1" si="7"/>
        <v>3.6331885542902801E-21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3.6331885542902801E-21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1709.6/14.326</f>
        <v>119.33547396342314</v>
      </c>
      <c r="G15" s="166">
        <f>24.8/1709.6</f>
        <v>1.4506317267197007E-2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8.7410443384087429E-20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0.999999999999999</v>
      </c>
      <c r="V15" s="51">
        <f t="shared" ca="1" si="9"/>
        <v>8.7410443384087513E-20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31.33/3.298</f>
        <v>9.4996967859308672</v>
      </c>
      <c r="G16" s="166">
        <f>0.58/31.33</f>
        <v>1.8512607724225982E-2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3.1276855869858616E-19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3.1276855869858616E-19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19.63/3.298</f>
        <v>5.9520921770770157</v>
      </c>
      <c r="G17" s="166">
        <f>0.43/19.63</f>
        <v>2.1905247070809986E-2</v>
      </c>
      <c r="H17" s="125">
        <v>1</v>
      </c>
      <c r="I17" s="125" t="s">
        <v>33</v>
      </c>
      <c r="J17" s="125">
        <v>3.7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0.9813561180185596</v>
      </c>
      <c r="R17" s="197">
        <f t="shared" ca="1" si="6"/>
        <v>1</v>
      </c>
      <c r="S17" s="51">
        <f t="shared" ca="1" si="7"/>
        <v>8.57314109155974E-20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0.99999999999998501</v>
      </c>
      <c r="V17" s="51">
        <f t="shared" ca="1" si="9"/>
        <v>8.5731410915598688E-20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6832451.2785950406</v>
      </c>
      <c r="AF17" s="112">
        <f ca="1">IF((OFFSET($X17,$A17,0)="Yes")+($F17="")+ISERROR($V17),"",IF(($U17&lt;=0.1)*(AK17&gt;3),"",$AE17/$AD17))</f>
        <v>409027.0766041915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5310.6/14.326</f>
        <v>370.69663548792408</v>
      </c>
      <c r="G18" s="166">
        <f>96.6/5310.6</f>
        <v>1.8190035024291038E-2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9.2539171925717035E-20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0.99999999999999933</v>
      </c>
      <c r="V18" s="51">
        <f t="shared" ca="1" si="9"/>
        <v>9.2539171925717095E-20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17.770186335403725</v>
      </c>
      <c r="AE18" s="112">
        <f ca="1">IF((OFFSET($X18,$A18,0)="Yes")+($F18="")+ISERROR($V18),"",IF(($U18&lt;=0.1)*(AK18&gt;3),"",$V18*($D$7*86400)*(1E+24/OFFSET($AC18,$A18,0))))</f>
        <v>4521197.282840238</v>
      </c>
      <c r="AF18" s="112">
        <f ca="1">IF((OFFSET($X18,$A18,0)="Yes")+($F18="")+ISERROR($V18),"",IF(($U18&lt;=0.1)*(AK18&gt;3),"",$AE18/$AD18))</f>
        <v>254425.99179911861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e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#DIV/0!</v>
      </c>
      <c r="AB20" s="49" t="e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#DIV/0!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3.32E+05  (32.95%)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32.954697370698938</v>
      </c>
      <c r="AJ20" s="96">
        <f ca="1">AvgThemalFluence(D20)</f>
        <v>331726.53420165507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32.954697370698938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47" priority="245" stopIfTrue="1">
      <formula>IF(OFFSET($X12,$A12,0)="Yes",TRUE,FALSE)*IF((LEN($C12)&gt;0),TRUE,FALSE)</formula>
    </cfRule>
    <cfRule type="expression" dxfId="146" priority="246" stopIfTrue="1">
      <formula>IF(OFFSET($X12,$A12,0)="Yes",TRUE,FALSE)</formula>
    </cfRule>
    <cfRule type="expression" dxfId="145" priority="248" stopIfTrue="1">
      <formula>IF((LEN($C12)&gt;0),TRUE,FALSE)</formula>
    </cfRule>
  </conditionalFormatting>
  <conditionalFormatting sqref="AJ12:AK14">
    <cfRule type="expression" dxfId="144" priority="298" stopIfTrue="1">
      <formula>IF((LEN($C12)&gt;0),TRUE,FALSE)</formula>
    </cfRule>
  </conditionalFormatting>
  <conditionalFormatting sqref="C5:C6">
    <cfRule type="expression" dxfId="143" priority="201" stopIfTrue="1">
      <formula>$A$3&gt;1</formula>
    </cfRule>
  </conditionalFormatting>
  <conditionalFormatting sqref="C7:C8">
    <cfRule type="expression" dxfId="142" priority="202" stopIfTrue="1">
      <formula>$A$3&gt;1</formula>
    </cfRule>
  </conditionalFormatting>
  <conditionalFormatting sqref="AA7:AD7">
    <cfRule type="expression" dxfId="141" priority="208" stopIfTrue="1">
      <formula>NOT($A$6)</formula>
    </cfRule>
  </conditionalFormatting>
  <conditionalFormatting sqref="AI12:AI14">
    <cfRule type="expression" dxfId="140" priority="255" stopIfTrue="1">
      <formula>NOT($A$6)*(ROW()&lt;ROW(hEpiThermInd)+$A$10/$A$9+1)</formula>
    </cfRule>
    <cfRule type="expression" dxfId="139" priority="256" stopIfTrue="1">
      <formula>IF((LEN($C12)&gt;0),TRUE,FALSE)</formula>
    </cfRule>
  </conditionalFormatting>
  <conditionalFormatting sqref="T7:T8">
    <cfRule type="expression" dxfId="138" priority="207" stopIfTrue="1">
      <formula>IF(A6*(ETRatio=0)+(NOT(A6))*(SUM(IF(OFFSET($AI$11,1,0,$A$10/$A$9,1)=0,1,0))&gt;0),TRUE,FALSE)</formula>
    </cfRule>
  </conditionalFormatting>
  <conditionalFormatting sqref="AA12:AB14">
    <cfRule type="expression" dxfId="137" priority="236" stopIfTrue="1">
      <formula>IF(OFFSET($X12,$A12,0)="No",TRUE,FALSE)*IF((LEN($C12)&gt;0),TRUE,FALSE)</formula>
    </cfRule>
    <cfRule type="expression" dxfId="136" priority="237" stopIfTrue="1">
      <formula>IF(OFFSET($X12,$A12,0)="No",TRUE,FALSE)</formula>
    </cfRule>
    <cfRule type="expression" dxfId="135" priority="239" stopIfTrue="1">
      <formula>IF((LEN($C12)&gt;0),TRUE,FALSE)</formula>
    </cfRule>
  </conditionalFormatting>
  <conditionalFormatting sqref="U12:U14">
    <cfRule type="expression" dxfId="134" priority="219" stopIfTrue="1">
      <formula>IF((LEN($C12)&gt;0),TRUE,FALSE)*IF($U12&lt;=0.1,TRUE,FALSE)</formula>
    </cfRule>
    <cfRule type="cellIs" dxfId="133" priority="220" stopIfTrue="1" operator="lessThanOrEqual">
      <formula>0.1</formula>
    </cfRule>
    <cfRule type="expression" dxfId="132" priority="228" stopIfTrue="1">
      <formula>IF((LEN($C12)&gt;0),TRUE,FALSE)</formula>
    </cfRule>
  </conditionalFormatting>
  <conditionalFormatting sqref="D8">
    <cfRule type="expression" dxfId="131" priority="204" stopIfTrue="1">
      <formula>AND($D$8&lt;1,$D$8&lt;&gt;"")</formula>
    </cfRule>
    <cfRule type="expression" dxfId="130" priority="206" stopIfTrue="1">
      <formula>$A$3&gt;1</formula>
    </cfRule>
  </conditionalFormatting>
  <conditionalFormatting sqref="C4">
    <cfRule type="expression" dxfId="129" priority="199" stopIfTrue="1">
      <formula>$A$3&gt;1</formula>
    </cfRule>
  </conditionalFormatting>
  <conditionalFormatting sqref="E4">
    <cfRule type="expression" dxfId="128" priority="203" stopIfTrue="1">
      <formula>$A$3&gt;1</formula>
    </cfRule>
  </conditionalFormatting>
  <conditionalFormatting sqref="K12:K14">
    <cfRule type="expression" dxfId="127" priority="216" stopIfTrue="1">
      <formula>IF(LEN($C12)=0,TRUE,FALSE)</formula>
    </cfRule>
    <cfRule type="expression" dxfId="126" priority="217" stopIfTrue="1">
      <formula>IF($H12=1,FALSE,IF((LEN($C12)&gt;0)*($H12&lt;&gt;""),TRUE,FALSE))</formula>
    </cfRule>
    <cfRule type="expression" dxfId="125" priority="218" stopIfTrue="1">
      <formula>IF((LEN($C12)&gt;0),TRUE,FALSE)</formula>
    </cfRule>
  </conditionalFormatting>
  <conditionalFormatting sqref="F12:F14">
    <cfRule type="expression" dxfId="124" priority="213" stopIfTrue="1">
      <formula>IF((LEN($C12)&gt;0),TRUE,FALSE)*IF((OFFSET($C12,$A12,0)="LI6(N,A)T")+(OFFSET($C12,$A12,0)="B10(N,A)LI7"),TRUE,FALSE)</formula>
    </cfRule>
    <cfRule type="expression" dxfId="123" priority="214" stopIfTrue="1">
      <formula>IF((OFFSET($C12,$A12,0)="LI6(N,A)T")+(OFFSET($C12,$A12,0)="B10(N,A)LI7"),TRUE,FALSE)</formula>
    </cfRule>
    <cfRule type="expression" dxfId="122" priority="215" stopIfTrue="1">
      <formula>IF((LEN($C12)&gt;0),TRUE,FALSE)</formula>
    </cfRule>
  </conditionalFormatting>
  <conditionalFormatting sqref="AA8:AD8">
    <cfRule type="expression" dxfId="121" priority="209" stopIfTrue="1">
      <formula>$AJ$19&gt;0</formula>
    </cfRule>
  </conditionalFormatting>
  <conditionalFormatting sqref="D7">
    <cfRule type="expression" dxfId="120" priority="205" stopIfTrue="1">
      <formula>$A$3&gt;1</formula>
    </cfRule>
  </conditionalFormatting>
  <conditionalFormatting sqref="C12:D14 G12:J12 S12:T14 V12:V14 Q12:Q14 AG12:AH14 G13:H14 J13:J14 I13:I17">
    <cfRule type="expression" dxfId="119" priority="210" stopIfTrue="1">
      <formula>IF((LEN($C12)&gt;0),TRUE,FALSE)</formula>
    </cfRule>
  </conditionalFormatting>
  <conditionalFormatting sqref="AC12:AC14">
    <cfRule type="expression" dxfId="118" priority="241" stopIfTrue="1">
      <formula>IF(OFFSET($X12,$A12,0)="Yes",TRUE,FALSE)*IF((LEN($C12)&gt;0),TRUE,FALSE)</formula>
    </cfRule>
    <cfRule type="expression" dxfId="117" priority="242" stopIfTrue="1">
      <formula>IF(OFFSET($X12,$A12,0)="Yes",TRUE,FALSE)+IF(LEN($C12)=0,TRUE,FALSE)</formula>
    </cfRule>
    <cfRule type="expression" dxfId="116" priority="243" stopIfTrue="1">
      <formula>IF((LEN($C12)&gt;0),TRUE,FALSE)</formula>
    </cfRule>
  </conditionalFormatting>
  <conditionalFormatting sqref="Y12:Z14">
    <cfRule type="expression" dxfId="115" priority="229" stopIfTrue="1">
      <formula>IF(OFFSET($X12,$A12,0)="No",TRUE,FALSE)*IF((LEN($C12)&gt;0),TRUE,FALSE)</formula>
    </cfRule>
    <cfRule type="expression" dxfId="114" priority="234" stopIfTrue="1">
      <formula>IF(OFFSET($X12,$A12,0)="No",TRUE,FALSE)+IF(LEN($C12)=0,TRUE,FALSE)</formula>
    </cfRule>
    <cfRule type="expression" dxfId="113" priority="235" stopIfTrue="1">
      <formula>IF((LEN($C12)&gt;0),TRUE,FALSE)</formula>
    </cfRule>
  </conditionalFormatting>
  <conditionalFormatting sqref="E12:E14 L12:P14 R12:R14 X12:X14">
    <cfRule type="expression" dxfId="112" priority="211" stopIfTrue="1">
      <formula>IF(LEN($C12)=0,TRUE,FALSE)</formula>
    </cfRule>
    <cfRule type="expression" dxfId="111" priority="212" stopIfTrue="1">
      <formula>IF((LEN($C12)&gt;0),TRUE,FALSE)</formula>
    </cfRule>
  </conditionalFormatting>
  <conditionalFormatting sqref="AD15:AF15">
    <cfRule type="expression" dxfId="110" priority="193" stopIfTrue="1">
      <formula>IF(OFFSET($X15,$A15,0)="Yes",TRUE,FALSE)*IF((LEN($C15)&gt;0),TRUE,FALSE)</formula>
    </cfRule>
    <cfRule type="expression" dxfId="109" priority="194" stopIfTrue="1">
      <formula>IF(OFFSET($X15,$A15,0)="Yes",TRUE,FALSE)</formula>
    </cfRule>
    <cfRule type="expression" dxfId="108" priority="195" stopIfTrue="1">
      <formula>IF((LEN($C15)&gt;0),TRUE,FALSE)</formula>
    </cfRule>
  </conditionalFormatting>
  <conditionalFormatting sqref="AJ15:AK15">
    <cfRule type="expression" dxfId="107" priority="198" stopIfTrue="1">
      <formula>IF((LEN($C15)&gt;0),TRUE,FALSE)</formula>
    </cfRule>
  </conditionalFormatting>
  <conditionalFormatting sqref="AI15">
    <cfRule type="expression" dxfId="106" priority="196" stopIfTrue="1">
      <formula>NOT($A$6)*(ROW()&lt;ROW(hEpiThermInd)+$A$10/$A$9+1)</formula>
    </cfRule>
    <cfRule type="expression" dxfId="105" priority="197" stopIfTrue="1">
      <formula>IF((LEN($C15)&gt;0),TRUE,FALSE)</formula>
    </cfRule>
  </conditionalFormatting>
  <conditionalFormatting sqref="AA15:AB15">
    <cfRule type="expression" dxfId="104" priority="187" stopIfTrue="1">
      <formula>IF(OFFSET($X15,$A15,0)="No",TRUE,FALSE)*IF((LEN($C15)&gt;0),TRUE,FALSE)</formula>
    </cfRule>
    <cfRule type="expression" dxfId="103" priority="188" stopIfTrue="1">
      <formula>IF(OFFSET($X15,$A15,0)="No",TRUE,FALSE)</formula>
    </cfRule>
    <cfRule type="expression" dxfId="102" priority="189" stopIfTrue="1">
      <formula>IF((LEN($C15)&gt;0),TRUE,FALSE)</formula>
    </cfRule>
  </conditionalFormatting>
  <conditionalFormatting sqref="U15">
    <cfRule type="expression" dxfId="101" priority="181" stopIfTrue="1">
      <formula>IF((LEN($C15)&gt;0),TRUE,FALSE)*IF($U15&lt;=0.1,TRUE,FALSE)</formula>
    </cfRule>
    <cfRule type="cellIs" dxfId="100" priority="182" stopIfTrue="1" operator="lessThanOrEqual">
      <formula>0.1</formula>
    </cfRule>
    <cfRule type="expression" dxfId="99" priority="183" stopIfTrue="1">
      <formula>IF((LEN($C15)&gt;0),TRUE,FALSE)</formula>
    </cfRule>
  </conditionalFormatting>
  <conditionalFormatting sqref="K15">
    <cfRule type="expression" dxfId="98" priority="178" stopIfTrue="1">
      <formula>IF(LEN($C15)=0,TRUE,FALSE)</formula>
    </cfRule>
    <cfRule type="expression" dxfId="97" priority="179" stopIfTrue="1">
      <formula>IF($H15=1,FALSE,IF((LEN($C15)&gt;0)*($H15&lt;&gt;""),TRUE,FALSE))</formula>
    </cfRule>
    <cfRule type="expression" dxfId="96" priority="180" stopIfTrue="1">
      <formula>IF((LEN($C15)&gt;0),TRUE,FALSE)</formula>
    </cfRule>
  </conditionalFormatting>
  <conditionalFormatting sqref="F15">
    <cfRule type="expression" dxfId="95" priority="175" stopIfTrue="1">
      <formula>IF((LEN($C15)&gt;0),TRUE,FALSE)*IF((OFFSET($C15,$A15,0)="LI6(N,A)T")+(OFFSET($C15,$A15,0)="B10(N,A)LI7"),TRUE,FALSE)</formula>
    </cfRule>
    <cfRule type="expression" dxfId="94" priority="176" stopIfTrue="1">
      <formula>IF((OFFSET($C15,$A15,0)="LI6(N,A)T")+(OFFSET($C15,$A15,0)="B10(N,A)LI7"),TRUE,FALSE)</formula>
    </cfRule>
    <cfRule type="expression" dxfId="93" priority="177" stopIfTrue="1">
      <formula>IF((LEN($C15)&gt;0),TRUE,FALSE)</formula>
    </cfRule>
  </conditionalFormatting>
  <conditionalFormatting sqref="C15:D15 G15:H15 S15:T15 V15 Q15 AG15:AH15 J15">
    <cfRule type="expression" dxfId="92" priority="172" stopIfTrue="1">
      <formula>IF((LEN($C15)&gt;0),TRUE,FALSE)</formula>
    </cfRule>
  </conditionalFormatting>
  <conditionalFormatting sqref="AC15">
    <cfRule type="expression" dxfId="91" priority="190" stopIfTrue="1">
      <formula>IF(OFFSET($X15,$A15,0)="Yes",TRUE,FALSE)*IF((LEN($C15)&gt;0),TRUE,FALSE)</formula>
    </cfRule>
    <cfRule type="expression" dxfId="90" priority="191" stopIfTrue="1">
      <formula>IF(OFFSET($X15,$A15,0)="Yes",TRUE,FALSE)+IF(LEN($C15)=0,TRUE,FALSE)</formula>
    </cfRule>
    <cfRule type="expression" dxfId="89" priority="192" stopIfTrue="1">
      <formula>IF((LEN($C15)&gt;0),TRUE,FALSE)</formula>
    </cfRule>
  </conditionalFormatting>
  <conditionalFormatting sqref="Y15:Z15">
    <cfRule type="expression" dxfId="88" priority="184" stopIfTrue="1">
      <formula>IF(OFFSET($X15,$A15,0)="No",TRUE,FALSE)*IF((LEN($C15)&gt;0),TRUE,FALSE)</formula>
    </cfRule>
    <cfRule type="expression" dxfId="87" priority="185" stopIfTrue="1">
      <formula>IF(OFFSET($X15,$A15,0)="No",TRUE,FALSE)+IF(LEN($C15)=0,TRUE,FALSE)</formula>
    </cfRule>
    <cfRule type="expression" dxfId="86" priority="186" stopIfTrue="1">
      <formula>IF((LEN($C15)&gt;0),TRUE,FALSE)</formula>
    </cfRule>
  </conditionalFormatting>
  <conditionalFormatting sqref="E15 L15:P15 R15 X15">
    <cfRule type="expression" dxfId="85" priority="173" stopIfTrue="1">
      <formula>IF(LEN($C15)=0,TRUE,FALSE)</formula>
    </cfRule>
    <cfRule type="expression" dxfId="84" priority="174" stopIfTrue="1">
      <formula>IF((LEN($C15)&gt;0),TRUE,FALSE)</formula>
    </cfRule>
  </conditionalFormatting>
  <conditionalFormatting sqref="AD16:AF16">
    <cfRule type="expression" dxfId="83" priority="166" stopIfTrue="1">
      <formula>IF(OFFSET($X16,$A16,0)="Yes",TRUE,FALSE)*IF((LEN($C16)&gt;0),TRUE,FALSE)</formula>
    </cfRule>
    <cfRule type="expression" dxfId="82" priority="167" stopIfTrue="1">
      <formula>IF(OFFSET($X16,$A16,0)="Yes",TRUE,FALSE)</formula>
    </cfRule>
    <cfRule type="expression" dxfId="81" priority="168" stopIfTrue="1">
      <formula>IF((LEN($C16)&gt;0),TRUE,FALSE)</formula>
    </cfRule>
  </conditionalFormatting>
  <conditionalFormatting sqref="AJ16:AK16">
    <cfRule type="expression" dxfId="80" priority="171" stopIfTrue="1">
      <formula>IF((LEN($C16)&gt;0),TRUE,FALSE)</formula>
    </cfRule>
  </conditionalFormatting>
  <conditionalFormatting sqref="AI16">
    <cfRule type="expression" dxfId="79" priority="169" stopIfTrue="1">
      <formula>NOT($A$6)*(ROW()&lt;ROW(hEpiThermInd)+$A$10/$A$9+1)</formula>
    </cfRule>
    <cfRule type="expression" dxfId="78" priority="170" stopIfTrue="1">
      <formula>IF((LEN($C16)&gt;0),TRUE,FALSE)</formula>
    </cfRule>
  </conditionalFormatting>
  <conditionalFormatting sqref="AA16:AB16">
    <cfRule type="expression" dxfId="77" priority="160" stopIfTrue="1">
      <formula>IF(OFFSET($X16,$A16,0)="No",TRUE,FALSE)*IF((LEN($C16)&gt;0),TRUE,FALSE)</formula>
    </cfRule>
    <cfRule type="expression" dxfId="76" priority="161" stopIfTrue="1">
      <formula>IF(OFFSET($X16,$A16,0)="No",TRUE,FALSE)</formula>
    </cfRule>
    <cfRule type="expression" dxfId="75" priority="162" stopIfTrue="1">
      <formula>IF((LEN($C16)&gt;0),TRUE,FALSE)</formula>
    </cfRule>
  </conditionalFormatting>
  <conditionalFormatting sqref="U16">
    <cfRule type="expression" dxfId="74" priority="154" stopIfTrue="1">
      <formula>IF((LEN($C16)&gt;0),TRUE,FALSE)*IF($U16&lt;=0.1,TRUE,FALSE)</formula>
    </cfRule>
    <cfRule type="cellIs" dxfId="73" priority="155" stopIfTrue="1" operator="lessThanOrEqual">
      <formula>0.1</formula>
    </cfRule>
    <cfRule type="expression" dxfId="72" priority="156" stopIfTrue="1">
      <formula>IF((LEN($C16)&gt;0),TRUE,FALSE)</formula>
    </cfRule>
  </conditionalFormatting>
  <conditionalFormatting sqref="K16">
    <cfRule type="expression" dxfId="71" priority="151" stopIfTrue="1">
      <formula>IF(LEN($C16)=0,TRUE,FALSE)</formula>
    </cfRule>
    <cfRule type="expression" dxfId="70" priority="152" stopIfTrue="1">
      <formula>IF($H16=1,FALSE,IF((LEN($C16)&gt;0)*($H16&lt;&gt;""),TRUE,FALSE))</formula>
    </cfRule>
    <cfRule type="expression" dxfId="69" priority="153" stopIfTrue="1">
      <formula>IF((LEN($C16)&gt;0),TRUE,FALSE)</formula>
    </cfRule>
  </conditionalFormatting>
  <conditionalFormatting sqref="F16">
    <cfRule type="expression" dxfId="68" priority="148" stopIfTrue="1">
      <formula>IF((LEN($C16)&gt;0),TRUE,FALSE)*IF((OFFSET($C16,$A16,0)="LI6(N,A)T")+(OFFSET($C16,$A16,0)="B10(N,A)LI7"),TRUE,FALSE)</formula>
    </cfRule>
    <cfRule type="expression" dxfId="67" priority="149" stopIfTrue="1">
      <formula>IF((OFFSET($C16,$A16,0)="LI6(N,A)T")+(OFFSET($C16,$A16,0)="B10(N,A)LI7"),TRUE,FALSE)</formula>
    </cfRule>
    <cfRule type="expression" dxfId="66" priority="150" stopIfTrue="1">
      <formula>IF((LEN($C16)&gt;0),TRUE,FALSE)</formula>
    </cfRule>
  </conditionalFormatting>
  <conditionalFormatting sqref="C16:D16 G16:H16 S16:T16 V16 Q16 AG16:AH16 J16">
    <cfRule type="expression" dxfId="65" priority="145" stopIfTrue="1">
      <formula>IF((LEN($C16)&gt;0),TRUE,FALSE)</formula>
    </cfRule>
  </conditionalFormatting>
  <conditionalFormatting sqref="AC16">
    <cfRule type="expression" dxfId="64" priority="163" stopIfTrue="1">
      <formula>IF(OFFSET($X16,$A16,0)="Yes",TRUE,FALSE)*IF((LEN($C16)&gt;0),TRUE,FALSE)</formula>
    </cfRule>
    <cfRule type="expression" dxfId="63" priority="164" stopIfTrue="1">
      <formula>IF(OFFSET($X16,$A16,0)="Yes",TRUE,FALSE)+IF(LEN($C16)=0,TRUE,FALSE)</formula>
    </cfRule>
    <cfRule type="expression" dxfId="62" priority="165" stopIfTrue="1">
      <formula>IF((LEN($C16)&gt;0),TRUE,FALSE)</formula>
    </cfRule>
  </conditionalFormatting>
  <conditionalFormatting sqref="Y16:Z16">
    <cfRule type="expression" dxfId="61" priority="157" stopIfTrue="1">
      <formula>IF(OFFSET($X16,$A16,0)="No",TRUE,FALSE)*IF((LEN($C16)&gt;0),TRUE,FALSE)</formula>
    </cfRule>
    <cfRule type="expression" dxfId="60" priority="158" stopIfTrue="1">
      <formula>IF(OFFSET($X16,$A16,0)="No",TRUE,FALSE)+IF(LEN($C16)=0,TRUE,FALSE)</formula>
    </cfRule>
    <cfRule type="expression" dxfId="59" priority="159" stopIfTrue="1">
      <formula>IF((LEN($C16)&gt;0),TRUE,FALSE)</formula>
    </cfRule>
  </conditionalFormatting>
  <conditionalFormatting sqref="E16 L16:P16 R16 X16">
    <cfRule type="expression" dxfId="58" priority="146" stopIfTrue="1">
      <formula>IF(LEN($C16)=0,TRUE,FALSE)</formula>
    </cfRule>
    <cfRule type="expression" dxfId="57" priority="147" stopIfTrue="1">
      <formula>IF((LEN($C16)&gt;0),TRUE,FALSE)</formula>
    </cfRule>
  </conditionalFormatting>
  <conditionalFormatting sqref="AD17:AF17">
    <cfRule type="expression" dxfId="56" priority="139" stopIfTrue="1">
      <formula>IF(OFFSET($X17,$A17,0)="Yes",TRUE,FALSE)*IF((LEN($C17)&gt;0),TRUE,FALSE)</formula>
    </cfRule>
    <cfRule type="expression" dxfId="55" priority="140" stopIfTrue="1">
      <formula>IF(OFFSET($X17,$A17,0)="Yes",TRUE,FALSE)</formula>
    </cfRule>
    <cfRule type="expression" dxfId="54" priority="141" stopIfTrue="1">
      <formula>IF((LEN($C17)&gt;0),TRUE,FALSE)</formula>
    </cfRule>
  </conditionalFormatting>
  <conditionalFormatting sqref="AJ17:AK17">
    <cfRule type="expression" dxfId="53" priority="144" stopIfTrue="1">
      <formula>IF((LEN($C17)&gt;0),TRUE,FALSE)</formula>
    </cfRule>
  </conditionalFormatting>
  <conditionalFormatting sqref="AI17">
    <cfRule type="expression" dxfId="52" priority="142" stopIfTrue="1">
      <formula>NOT($A$6)*(ROW()&lt;ROW(hEpiThermInd)+$A$10/$A$9+1)</formula>
    </cfRule>
    <cfRule type="expression" dxfId="51" priority="143" stopIfTrue="1">
      <formula>IF((LEN($C17)&gt;0),TRUE,FALSE)</formula>
    </cfRule>
  </conditionalFormatting>
  <conditionalFormatting sqref="AA17:AB17">
    <cfRule type="expression" dxfId="50" priority="133" stopIfTrue="1">
      <formula>IF(OFFSET($X17,$A17,0)="No",TRUE,FALSE)*IF((LEN($C17)&gt;0),TRUE,FALSE)</formula>
    </cfRule>
    <cfRule type="expression" dxfId="49" priority="134" stopIfTrue="1">
      <formula>IF(OFFSET($X17,$A17,0)="No",TRUE,FALSE)</formula>
    </cfRule>
    <cfRule type="expression" dxfId="48" priority="135" stopIfTrue="1">
      <formula>IF((LEN($C17)&gt;0),TRUE,FALSE)</formula>
    </cfRule>
  </conditionalFormatting>
  <conditionalFormatting sqref="U17">
    <cfRule type="expression" dxfId="47" priority="127" stopIfTrue="1">
      <formula>IF((LEN($C17)&gt;0),TRUE,FALSE)*IF($U17&lt;=0.1,TRUE,FALSE)</formula>
    </cfRule>
    <cfRule type="cellIs" dxfId="46" priority="128" stopIfTrue="1" operator="lessThanOrEqual">
      <formula>0.1</formula>
    </cfRule>
    <cfRule type="expression" dxfId="45" priority="129" stopIfTrue="1">
      <formula>IF((LEN($C17)&gt;0),TRUE,FALSE)</formula>
    </cfRule>
  </conditionalFormatting>
  <conditionalFormatting sqref="K17">
    <cfRule type="expression" dxfId="44" priority="124" stopIfTrue="1">
      <formula>IF(LEN($C17)=0,TRUE,FALSE)</formula>
    </cfRule>
    <cfRule type="expression" dxfId="43" priority="125" stopIfTrue="1">
      <formula>IF($H17=1,FALSE,IF((LEN($C17)&gt;0)*($H17&lt;&gt;""),TRUE,FALSE))</formula>
    </cfRule>
    <cfRule type="expression" dxfId="42" priority="126" stopIfTrue="1">
      <formula>IF((LEN($C17)&gt;0),TRUE,FALSE)</formula>
    </cfRule>
  </conditionalFormatting>
  <conditionalFormatting sqref="F17">
    <cfRule type="expression" dxfId="41" priority="121" stopIfTrue="1">
      <formula>IF((LEN($C17)&gt;0),TRUE,FALSE)*IF((OFFSET($C17,$A17,0)="LI6(N,A)T")+(OFFSET($C17,$A17,0)="B10(N,A)LI7"),TRUE,FALSE)</formula>
    </cfRule>
    <cfRule type="expression" dxfId="40" priority="122" stopIfTrue="1">
      <formula>IF((OFFSET($C17,$A17,0)="LI6(N,A)T")+(OFFSET($C17,$A17,0)="B10(N,A)LI7"),TRUE,FALSE)</formula>
    </cfRule>
    <cfRule type="expression" dxfId="39" priority="123" stopIfTrue="1">
      <formula>IF((LEN($C17)&gt;0),TRUE,FALSE)</formula>
    </cfRule>
  </conditionalFormatting>
  <conditionalFormatting sqref="C17:D17 G17:H17 S17:T17 V17 Q17 AG17:AH17 J17">
    <cfRule type="expression" dxfId="38" priority="118" stopIfTrue="1">
      <formula>IF((LEN($C17)&gt;0),TRUE,FALSE)</formula>
    </cfRule>
  </conditionalFormatting>
  <conditionalFormatting sqref="AC17">
    <cfRule type="expression" dxfId="37" priority="136" stopIfTrue="1">
      <formula>IF(OFFSET($X17,$A17,0)="Yes",TRUE,FALSE)*IF((LEN($C17)&gt;0),TRUE,FALSE)</formula>
    </cfRule>
    <cfRule type="expression" dxfId="36" priority="137" stopIfTrue="1">
      <formula>IF(OFFSET($X17,$A17,0)="Yes",TRUE,FALSE)+IF(LEN($C17)=0,TRUE,FALSE)</formula>
    </cfRule>
    <cfRule type="expression" dxfId="35" priority="138" stopIfTrue="1">
      <formula>IF((LEN($C17)&gt;0),TRUE,FALSE)</formula>
    </cfRule>
  </conditionalFormatting>
  <conditionalFormatting sqref="Y17:Z17">
    <cfRule type="expression" dxfId="34" priority="130" stopIfTrue="1">
      <formula>IF(OFFSET($X17,$A17,0)="No",TRUE,FALSE)*IF((LEN($C17)&gt;0),TRUE,FALSE)</formula>
    </cfRule>
    <cfRule type="expression" dxfId="33" priority="131" stopIfTrue="1">
      <formula>IF(OFFSET($X17,$A17,0)="No",TRUE,FALSE)+IF(LEN($C17)=0,TRUE,FALSE)</formula>
    </cfRule>
    <cfRule type="expression" dxfId="32" priority="132" stopIfTrue="1">
      <formula>IF((LEN($C17)&gt;0),TRUE,FALSE)</formula>
    </cfRule>
  </conditionalFormatting>
  <conditionalFormatting sqref="E17 L17:P17 R17 X17">
    <cfRule type="expression" dxfId="31" priority="119" stopIfTrue="1">
      <formula>IF(LEN($C17)=0,TRUE,FALSE)</formula>
    </cfRule>
    <cfRule type="expression" dxfId="30" priority="120" stopIfTrue="1">
      <formula>IF((LEN($C17)&gt;0),TRUE,FALSE)</formula>
    </cfRule>
  </conditionalFormatting>
  <conditionalFormatting sqref="I18">
    <cfRule type="expression" dxfId="29" priority="33" stopIfTrue="1">
      <formula>IF((LEN($C18)&gt;0),TRUE,FALSE)</formula>
    </cfRule>
  </conditionalFormatting>
  <conditionalFormatting sqref="AD18:AF18">
    <cfRule type="expression" dxfId="28" priority="27" stopIfTrue="1">
      <formula>IF(OFFSET($X18,$A18,0)="Yes",TRUE,FALSE)*IF((LEN($C18)&gt;0),TRUE,FALSE)</formula>
    </cfRule>
    <cfRule type="expression" dxfId="27" priority="28" stopIfTrue="1">
      <formula>IF(OFFSET($X18,$A18,0)="Yes",TRUE,FALSE)</formula>
    </cfRule>
    <cfRule type="expression" dxfId="26" priority="29" stopIfTrue="1">
      <formula>IF((LEN($C18)&gt;0),TRUE,FALSE)</formula>
    </cfRule>
  </conditionalFormatting>
  <conditionalFormatting sqref="AJ18:AK18">
    <cfRule type="expression" dxfId="25" priority="32" stopIfTrue="1">
      <formula>IF((LEN($C18)&gt;0),TRUE,FALSE)</formula>
    </cfRule>
  </conditionalFormatting>
  <conditionalFormatting sqref="AI18">
    <cfRule type="expression" dxfId="24" priority="30" stopIfTrue="1">
      <formula>NOT($A$6)*(ROW()&lt;ROW(hEpiThermInd)+$A$10/$A$9+1)</formula>
    </cfRule>
    <cfRule type="expression" dxfId="23" priority="31" stopIfTrue="1">
      <formula>IF((LEN($C18)&gt;0),TRUE,FALSE)</formula>
    </cfRule>
  </conditionalFormatting>
  <conditionalFormatting sqref="AA18:AB18">
    <cfRule type="expression" dxfId="22" priority="21" stopIfTrue="1">
      <formula>IF(OFFSET($X18,$A18,0)="No",TRUE,FALSE)*IF((LEN($C18)&gt;0),TRUE,FALSE)</formula>
    </cfRule>
    <cfRule type="expression" dxfId="21" priority="22" stopIfTrue="1">
      <formula>IF(OFFSET($X18,$A18,0)="No",TRUE,FALSE)</formula>
    </cfRule>
    <cfRule type="expression" dxfId="20" priority="23" stopIfTrue="1">
      <formula>IF((LEN($C18)&gt;0),TRUE,FALSE)</formula>
    </cfRule>
  </conditionalFormatting>
  <conditionalFormatting sqref="U18">
    <cfRule type="expression" dxfId="19" priority="15" stopIfTrue="1">
      <formula>IF((LEN($C18)&gt;0),TRUE,FALSE)*IF($U18&lt;=0.1,TRUE,FALSE)</formula>
    </cfRule>
    <cfRule type="cellIs" dxfId="18" priority="16" stopIfTrue="1" operator="lessThanOrEqual">
      <formula>0.1</formula>
    </cfRule>
    <cfRule type="expression" dxfId="17" priority="17" stopIfTrue="1">
      <formula>IF((LEN($C18)&gt;0),TRUE,FALSE)</formula>
    </cfRule>
  </conditionalFormatting>
  <conditionalFormatting sqref="K18">
    <cfRule type="expression" dxfId="16" priority="12" stopIfTrue="1">
      <formula>IF(LEN($C18)=0,TRUE,FALSE)</formula>
    </cfRule>
    <cfRule type="expression" dxfId="15" priority="13" stopIfTrue="1">
      <formula>IF($H18=1,FALSE,IF((LEN($C18)&gt;0)*($H18&lt;&gt;""),TRUE,FALSE))</formula>
    </cfRule>
    <cfRule type="expression" dxfId="14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2018-03-02T18:04:39Z</dcterms:modified>
</cp:coreProperties>
</file>