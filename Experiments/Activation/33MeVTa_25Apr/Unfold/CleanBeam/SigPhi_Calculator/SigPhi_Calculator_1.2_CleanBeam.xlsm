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SigPhi_Calculations!$AI$20</definedName>
    <definedName name="_xlnm.Print_Area" localSheetId="4">SigPhi_Calculations!$C$1:$AH$20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SigPhi_Calculations!$AI$21</definedName>
  </definedNames>
  <calcPr calcId="152511"/>
</workbook>
</file>

<file path=xl/calcChain.xml><?xml version="1.0" encoding="utf-8"?>
<calcChain xmlns="http://schemas.openxmlformats.org/spreadsheetml/2006/main">
  <c r="G17" i="1" l="1"/>
  <c r="G16" i="1"/>
  <c r="G15" i="1"/>
  <c r="G14" i="1"/>
  <c r="G13" i="1"/>
  <c r="F14" i="1"/>
  <c r="F13" i="1"/>
  <c r="F17" i="1" l="1"/>
  <c r="F16" i="1"/>
  <c r="F15" i="1"/>
  <c r="F12" i="1"/>
  <c r="AH17" i="1" l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19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J17" i="1" l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19" i="1"/>
  <c r="AG19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K14" i="1"/>
  <c r="O13" i="1"/>
  <c r="K13" i="1" s="1"/>
  <c r="N13" i="1"/>
  <c r="P13" i="1" s="1"/>
  <c r="AJ14" i="1"/>
  <c r="B9" i="3"/>
  <c r="D8" i="3"/>
  <c r="AI17" i="1" l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0" i="1" a="1"/>
  <c r="AI20" i="1" s="1"/>
  <c r="AJ20" i="1" a="1"/>
  <c r="AJ20" i="1" s="1"/>
  <c r="AJ18" i="1" a="1"/>
  <c r="AJ18" i="1" s="1"/>
  <c r="D11" i="3"/>
  <c r="C11" i="3"/>
  <c r="B12" i="3"/>
  <c r="AE17" i="1" l="1"/>
  <c r="AF17" i="1" s="1"/>
  <c r="AA17" i="1"/>
  <c r="AB17" i="1"/>
  <c r="C12" i="3"/>
  <c r="D12" i="3"/>
  <c r="B13" i="3"/>
  <c r="AJ19" i="1"/>
  <c r="D13" i="3" l="1"/>
  <c r="C13" i="3"/>
  <c r="B14" i="3"/>
  <c r="U13" i="1"/>
  <c r="U16" i="1"/>
  <c r="U15" i="1"/>
  <c r="U12" i="1"/>
  <c r="U14" i="1"/>
  <c r="V14" i="1" l="1"/>
  <c r="AE14" i="1" s="1"/>
  <c r="V12" i="1"/>
  <c r="AE12" i="1" s="1"/>
  <c r="V15" i="1"/>
  <c r="AF15" i="1" s="1"/>
  <c r="V16" i="1"/>
  <c r="AE16" i="1" s="1"/>
  <c r="V13" i="1"/>
  <c r="AF13" i="1" s="1"/>
  <c r="AB12" i="1"/>
  <c r="AA12" i="1"/>
  <c r="AA15" i="1"/>
  <c r="AA13" i="1"/>
  <c r="C14" i="3"/>
  <c r="D14" i="3"/>
  <c r="B15" i="3"/>
  <c r="AE13" i="1" l="1"/>
  <c r="AB14" i="1"/>
  <c r="AB13" i="1"/>
  <c r="AA14" i="1"/>
  <c r="AF14" i="1"/>
  <c r="AF12" i="1"/>
  <c r="AB16" i="1"/>
  <c r="AA16" i="1"/>
  <c r="AB15" i="1"/>
  <c r="AE15" i="1"/>
  <c r="AF16" i="1"/>
  <c r="AA19" i="1" a="1"/>
  <c r="AA19" i="1" s="1"/>
  <c r="C15" i="3"/>
  <c r="D15" i="3"/>
  <c r="B16" i="3"/>
  <c r="AF19" i="1" l="1" a="1"/>
  <c r="AF19" i="1" s="1"/>
  <c r="AB19" i="1" a="1"/>
  <c r="AB19" i="1" s="1"/>
  <c r="AI19" i="1" a="1"/>
  <c r="AI19" i="1" s="1"/>
  <c r="AI21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<sst xmlns="http://schemas.openxmlformats.org/spreadsheetml/2006/main" count="1251" uniqueCount="659">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</sst>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18"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347440"/>
        <c:axId val="506347832"/>
      </c:scatterChart>
      <c:valAx>
        <c:axId val="506347440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6347832"/>
        <c:crosses val="autoZero"/>
        <c:crossBetween val="midCat"/>
        <c:majorUnit val="1"/>
        <c:minorUnit val="0.25"/>
      </c:valAx>
      <c:valAx>
        <c:axId val="506347832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6347440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A3" sqref="A3:H61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0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H17" sqref="H17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COUNTA(C12:C18)</f>
        <v>6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ROWS(C12:C18)-1</f>
        <v>6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1673/5.306</f>
        <v>315.30343007915565</v>
      </c>
      <c r="G12" s="166">
        <v>0.02</v>
      </c>
      <c r="H12" s="125">
        <v>1</v>
      </c>
      <c r="I12" s="125" t="s">
        <v>33</v>
      </c>
      <c r="J12" s="125">
        <v>39.880000000000003</v>
      </c>
      <c r="K12" s="195">
        <f t="shared" ref="K12:K14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7" ca="1" si="2">IF($A12=0,INDEX(RxnData,$AK12,16),"")</f>
        <v>26.9815386</v>
      </c>
      <c r="M12" s="24">
        <f t="shared" ref="M12:M17" ca="1" si="3">IF($A12=0,INDEX(RxnData,$AK12,18),"")</f>
        <v>1</v>
      </c>
      <c r="N12" s="21" t="str">
        <f t="shared" ref="N12:N17" ca="1" si="4">IF($A12=0,INDEX(RxnData,$AK12,10),"")</f>
        <v>12-Mg-27</v>
      </c>
      <c r="O12" s="25">
        <f t="shared" ref="O12:O17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7" ca="1" si="6">IF($A12=0,1,"")</f>
        <v>1</v>
      </c>
      <c r="S12" s="51">
        <f t="shared" ref="S12:S17" ca="1" si="7">IF($F12="","",($F12*$D$8*OFFSET($L12,$A12,0)) / ($Q12*OFFSET($P12,$A12,0)*OFFSET($M12,$A12,0)*OFFSET($R12,$A12,0)*N_A*$H12*IF($AK12&lt;4,$D$7*86400,1)))</f>
        <v>1.4136183507926474E-20</v>
      </c>
      <c r="T12" s="52">
        <f t="shared" ref="T12:T17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 t="e">
        <f ca="1">IF($F12="",1,
IF((OFFSET($X12,$A12,0)="Yes")+($AK12=1)+($AK12=3),
NeutronBurnup($D$7*86400,IF(OFFSET($O12,$A12,0)="--","--",LN(2)*$D$8/OFFSET($O12,$A12,0)),(OFFSET($AK$19,ABS($A12),-1)/($D$7*86400))*1E-24*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#NAME?</v>
      </c>
      <c r="V12" s="51" t="e">
        <f t="shared" ref="V12:V17" ca="1" si="9">IF($F12="","",$S12 / IF($U12="",1,$U12))</f>
        <v>#NAME?</v>
      </c>
      <c r="X12" s="200" t="str">
        <f t="shared" ref="X12:X17" ca="1" si="10">IF($A12=0,INDEX(RxnData,$AK12,6),"")</f>
        <v>Yes</v>
      </c>
      <c r="Y12" s="201"/>
      <c r="Z12" s="201"/>
      <c r="AA12" s="53" t="str">
        <f t="shared" ref="AA12:AA17" ca="1" si="11">IF((OFFSET($X12,$A12,0)="No")+($F12="")+ISERROR($V12),"",$V12*($D$7*86400)*(1E+24/OFFSET($Y12,$A12,0)))</f>
        <v/>
      </c>
      <c r="AB12" s="53" t="str">
        <f t="shared" ref="AB12:AB17" ca="1" si="12">IF((OFFSET($X12,$A12,0)="No")+($F12="")+ISERROR($V12),"",$V12*($D$7*86400)*(1E+24/OFFSET($Z12,$A12,0)))</f>
        <v/>
      </c>
      <c r="AC12" s="202" t="str">
        <f t="shared" ref="AC12:AC17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7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222.06/5.306</f>
        <v>41.850735016961927</v>
      </c>
      <c r="G13" s="166">
        <f>2.69/222.06</f>
        <v>1.211384310546699E-2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1.9603693141974021E-20</v>
      </c>
      <c r="T13" s="52">
        <f t="shared" ca="1" si="8"/>
        <v>1</v>
      </c>
      <c r="U13" s="52" t="e">
        <f ca="1">IF($F13="",1,
IF((OFFSET($X13,$A13,0)="Yes")+($AK13=1)+($AK13=3),
NeutronBurnup($D$7*86400,IF(OFFSET($O13,$A13,0)="--","--",LN(2)*$D$8/OFFSET($O13,$A13,0)),(OFFSET($AK$19,ABS($A13),-1)/($D$7*86400))*1E-24*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#NAME?</v>
      </c>
      <c r="V13" s="51" t="e">
        <f t="shared" ca="1" si="9"/>
        <v>#NAME?</v>
      </c>
      <c r="X13" s="200" t="str">
        <f t="shared" ca="1" si="10"/>
        <v>Yes</v>
      </c>
      <c r="Y13" s="201"/>
      <c r="Z13" s="201"/>
      <c r="AA13" s="53" t="str">
        <f t="shared" ca="1" si="11"/>
        <v/>
      </c>
      <c r="AB13" s="53" t="str">
        <f t="shared" ca="1" si="12"/>
        <v/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17.11/16.934</f>
        <v>1.0103932916026928</v>
      </c>
      <c r="G14" s="166">
        <f>0.26/17.11</f>
        <v>1.5195791934541205E-2</v>
      </c>
      <c r="H14" s="125">
        <v>1</v>
      </c>
      <c r="I14" s="125" t="s">
        <v>33</v>
      </c>
      <c r="J14" s="125">
        <v>39.369999999999997</v>
      </c>
      <c r="K14" s="195">
        <f t="shared" ca="1" si="1"/>
        <v>0.4657500652846458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0.97706990967412832</v>
      </c>
      <c r="R14" s="197">
        <f t="shared" ca="1" si="6"/>
        <v>1</v>
      </c>
      <c r="S14" s="51">
        <f t="shared" ca="1" si="7"/>
        <v>3.5545803021561508E-21</v>
      </c>
      <c r="T14" s="52">
        <f t="shared" ca="1" si="8"/>
        <v>1</v>
      </c>
      <c r="U14" s="52" t="e">
        <f ca="1">IF($F14="",1,
IF((OFFSET($X14,$A14,0)="Yes")+($AK14=1)+($AK14=3),
NeutronBurnup($D$7*86400,IF(OFFSET($O14,$A14,0)="--","--",LN(2)*$D$8/OFFSET($O14,$A14,0)),(OFFSET($AK$19,ABS($A14),-1)/($D$7*86400))*1E-24*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#NAME?</v>
      </c>
      <c r="V14" s="51" t="e">
        <f t="shared" ca="1" si="9"/>
        <v>#NAME?</v>
      </c>
      <c r="X14" s="200" t="str">
        <f t="shared" ca="1" si="10"/>
        <v>Yes</v>
      </c>
      <c r="Y14" s="201"/>
      <c r="Z14" s="201"/>
      <c r="AA14" s="53" t="str">
        <f t="shared" ca="1" si="11"/>
        <v/>
      </c>
      <c r="AB14" s="53" t="str">
        <f t="shared" ca="1" si="12"/>
        <v/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1695.7/14.326</f>
        <v>118.36521010749686</v>
      </c>
      <c r="G15" s="166">
        <f>9.2/1695.7</f>
        <v>5.4254879990564362E-3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8.6699747804396978E-20</v>
      </c>
      <c r="T15" s="52">
        <f t="shared" ca="1" si="8"/>
        <v>0.74535367545076281</v>
      </c>
      <c r="U15" s="52" t="e">
        <f ca="1">IF($F15="",1,
IF((OFFSET($X15,$A15,0)="Yes")+($AK15=1)+($AK15=3),
NeutronBurnup($D$7*86400,IF(OFFSET($O15,$A15,0)="--","--",LN(2)*$D$8/OFFSET($O15,$A15,0)),(OFFSET($AK$19,ABS($A15),-1)/($D$7*86400))*1E-24*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#NAME?</v>
      </c>
      <c r="V15" s="51" t="e">
        <f t="shared" ca="1" si="9"/>
        <v>#NAME?</v>
      </c>
      <c r="X15" s="200" t="str">
        <f t="shared" ca="1" si="10"/>
        <v>Yes</v>
      </c>
      <c r="Y15" s="201"/>
      <c r="Z15" s="201"/>
      <c r="AA15" s="53" t="str">
        <f t="shared" ca="1" si="11"/>
        <v/>
      </c>
      <c r="AB15" s="53" t="str">
        <f t="shared" ca="1" si="12"/>
        <v/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30.978/3.298</f>
        <v>9.3929654335961192</v>
      </c>
      <c r="G16" s="166">
        <f>0.385/30.978</f>
        <v>1.2428174833752985E-2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3.0925452956797966E-19</v>
      </c>
      <c r="T16" s="52">
        <f t="shared" ca="1" si="8"/>
        <v>1</v>
      </c>
      <c r="U16" s="52" t="e">
        <f ca="1">IF($F16="",1,
IF((OFFSET($X16,$A16,0)="Yes")+($AK16=1)+($AK16=3),
NeutronBurnup($D$7*86400,IF(OFFSET($O16,$A16,0)="--","--",LN(2)*$D$8/OFFSET($O16,$A16,0)),(OFFSET($AK$19,ABS($A16),-1)/($D$7*86400))*1E-24*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#NAME?</v>
      </c>
      <c r="V16" s="51" t="e">
        <f t="shared" ca="1" si="9"/>
        <v>#NAME?</v>
      </c>
      <c r="X16" s="200" t="str">
        <f t="shared" ca="1" si="10"/>
        <v>Yes</v>
      </c>
      <c r="Y16" s="201"/>
      <c r="Z16" s="201"/>
      <c r="AA16" s="53" t="str">
        <f t="shared" ca="1" si="11"/>
        <v/>
      </c>
      <c r="AB16" s="53" t="str">
        <f t="shared" ca="1" si="12"/>
        <v/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19.411/3.298</f>
        <v>5.8856882959369319</v>
      </c>
      <c r="G17" s="166">
        <f>0.325/19.411</f>
        <v>1.6743083818453453E-2</v>
      </c>
      <c r="H17" s="125">
        <v>1</v>
      </c>
      <c r="I17" s="125" t="s">
        <v>33</v>
      </c>
      <c r="J17" s="125">
        <v>3.71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0.98130636105807867</v>
      </c>
      <c r="R17" s="197">
        <f t="shared" ca="1" si="6"/>
        <v>1</v>
      </c>
      <c r="S17" s="51">
        <f t="shared" ca="1" si="7"/>
        <v>8.4779256078149639E-20</v>
      </c>
      <c r="T17" s="52">
        <f t="shared" ca="1" si="8"/>
        <v>40.334809243646511</v>
      </c>
      <c r="U17" s="52" t="e">
        <f ca="1">IF($F17="",1,
IF((OFFSET($X17,$A17,0)="Yes")+($AK17=1)+($AK17=3),
NeutronBurnup($D$7*86400,IF(OFFSET($O17,$A17,0)="--","--",LN(2)*$D$8/OFFSET($O17,$A17,0)),(OFFSET($AK$19,ABS($A17),-1)/($D$7*86400))*1E-24*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#NAME?</v>
      </c>
      <c r="V17" s="51" t="e">
        <f t="shared" ca="1" si="9"/>
        <v>#NAME?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 t="e">
        <f t="shared" ref="AD17" ca="1" si="32">IF((OFFSET($X17,$A17,0)="Yes"),"",IF(ISERROR($U17)+($U17&lt;=0.1)*(AK17&gt;3),"",1 + (INDEX(RxnData,$AK17,13) / OFFSET($AC17,$A17,0))*IF($A$6,$AD$7,$AI17)))</f>
        <v>#NAME?</v>
      </c>
      <c r="AE17" s="112" t="str">
        <f ca="1">IF((OFFSET($X17,$A17,0)="Yes")+($F17="")+ISERROR($V17),"",IF(($U17&lt;=0.1)*(AK17&gt;3),"",$V17*($D$7*86400)*(1E+24/OFFSET($AC17,$A17,0))))</f>
        <v/>
      </c>
      <c r="AF17" s="112" t="str">
        <f ca="1">IF((OFFSET($X17,$A17,0)="Yes")+($F17="")+ISERROR($V17),"",IF(($U17&lt;=0.1)*(AK17&gt;3),"",$AE17/$AD17))</f>
        <v/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ht="6.95" customHeight="1" x14ac:dyDescent="0.2">
      <c r="A18" s="29" t="s">
        <v>27</v>
      </c>
      <c r="B18" s="30"/>
      <c r="C18" s="42"/>
      <c r="D18" s="41"/>
      <c r="E18" s="32"/>
      <c r="F18" s="192" t="s">
        <v>568</v>
      </c>
      <c r="G18" s="167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41"/>
      <c r="S18" s="32"/>
      <c r="T18" s="32"/>
      <c r="U18" s="32"/>
      <c r="V18" s="32"/>
      <c r="W18" s="20"/>
      <c r="X18" s="150"/>
      <c r="Y18" s="32"/>
      <c r="Z18" s="32"/>
      <c r="AA18" s="32"/>
      <c r="AB18" s="32"/>
      <c r="AC18" s="32"/>
      <c r="AD18" s="32"/>
      <c r="AE18" s="32"/>
      <c r="AF18" s="32"/>
      <c r="AG18" s="41"/>
      <c r="AH18" s="32"/>
      <c r="AI18" s="198" t="s">
        <v>377</v>
      </c>
      <c r="AJ18" s="199">
        <f t="array" aca="1" ref="AJ18" ca="1">SUM(IF(($X$12:$X$18="No")*($AK$12:$AK$18&gt;3),1,0))</f>
        <v>1</v>
      </c>
      <c r="AK18" s="108"/>
      <c r="AL18" s="108"/>
      <c r="AM18" s="108"/>
    </row>
    <row r="19" spans="1:39" x14ac:dyDescent="0.2">
      <c r="C19" s="54" t="s">
        <v>24</v>
      </c>
      <c r="D19" s="142" t="str">
        <f ca="1">IF(ROW()-ROW($C$18)&gt;$A$10/$A$9,"",IF(OFFSET($D$11,ROW()-ROW($C$18),0)="","",OFFSET($D$11,ROW()-ROW($C$18),0)))</f>
        <v>a</v>
      </c>
      <c r="E19" s="31"/>
      <c r="F19" s="31"/>
      <c r="G19" s="31"/>
      <c r="H19" s="31"/>
      <c r="I19" s="31"/>
      <c r="J19" s="31"/>
      <c r="K19" s="31"/>
      <c r="L19" s="31"/>
      <c r="M19" s="31"/>
      <c r="N19" s="33"/>
      <c r="O19" s="31"/>
      <c r="P19" s="31"/>
      <c r="Q19" s="31"/>
      <c r="R19" s="31"/>
      <c r="S19" s="31"/>
      <c r="T19" s="31"/>
      <c r="U19" s="31"/>
      <c r="V19" s="31"/>
      <c r="W19" s="20"/>
      <c r="X19" s="151"/>
      <c r="Y19" s="47"/>
      <c r="Z19" s="48" t="s">
        <v>25</v>
      </c>
      <c r="AA19" s="49" t="str">
        <f t="array" aca="1" ref="AA19" ca="1">IF(SUM(IF((AA$12:AA$18&lt;&gt;"")*($D$12:$D$18=$D19),1,0))&gt;0,IF($AJ$20&lt;1,"N/A",TEXT(AVERAGE(IF($D$12:$D$18=$D19,AA$12:AA$18,"")),"0.00E+00")) &amp; "  (" &amp; IF(($AJ$20&lt;2)+(SUM(IF(($D$12:$D$18=$D19)*(AA$12:AA$18&lt;&gt;""),1,0))&lt;2),"N/A)",TEXT(100*STDEV(IF($D$12:$D$18=$D19,AA$12:AA$18,""))/AVERAGE(IF($D$12:$D$18=$D19,AA$12:AA$18,"")),"0.00") &amp; "%)"),"")</f>
        <v/>
      </c>
      <c r="AB19" s="49" t="str">
        <f t="array" aca="1" ref="AB19" ca="1">IF(SUM(IF((AB$12:AB$18&lt;&gt;"")*($D$12:$D$18=$D19),1,0))&gt;0,IF($AJ$20&lt;1,"N/A",TEXT(AVERAGE(IF($D$12:$D$18=$D19,AB$12:AB$18,"")),"0.00E+00")) &amp; "  (" &amp; IF(($AJ$20&lt;2)+(SUM(IF(($D$12:$D$18=$D19)*(AB$12:AB$18&lt;&gt;""),1,0))&lt;2),"N/A)",TEXT(100*STDEV(IF($D$12:$D$18=$D19,AB$12:AB$18,""))/AVERAGE(IF($D$12:$D$18=$D19,AB$12:AB$18,"")),"0.00") &amp; "%)"),"")</f>
        <v/>
      </c>
      <c r="AC19" s="31"/>
      <c r="AD19" s="47"/>
      <c r="AE19" s="48" t="s">
        <v>25</v>
      </c>
      <c r="AF19" s="49" t="str">
        <f t="array" aca="1" ref="AF19" ca="1">IF(SUM(IF((AF$12:AF$18&lt;&gt;"")*($D$12:$D$18=$D19),1,0))&gt;0,IF($AI$20&lt;1,"N/A",TEXT(AVERAGE(IF($D$12:$D$18=$D19,AF$12:AF$18,"")),"0.00E+00")) &amp; "  (" &amp; IF(($AI$20&lt;2)+(SUM(IF(($D$12:$D$18=$D19)*(AF$12:AF$18&lt;&gt;""),1,0))&lt;2),"N/A)",TEXT(100*STDEV(IF($D$12:$D$18=$D19,AF$12:AF$18,""))/AVERAGE(IF($D$12:$D$18=$D19,AF$12:AF$18,"")),"0.00") &amp; "%)"),"")</f>
        <v/>
      </c>
      <c r="AG19" s="149" t="str">
        <f ca="1">IF(D19="","",D19)</f>
        <v>a</v>
      </c>
      <c r="AH19" s="44" t="str">
        <f>IF(C19="","",C19)</f>
        <v>Overall</v>
      </c>
      <c r="AI19" s="95" t="str">
        <f t="array" aca="1" ref="AI19" ca="1">IF($D19="","",IF(($AI$20&lt;2)+(SUM(IF(($D$12:$D$18=$D19)*(AF$12:AF$18&lt;&gt;""),1,0))&lt;2),"N/A",100*STDEV(IF($D$12:$D$18=$D19,AF$12:AF$18,""))/AVERAGE(IF($D$12:$D$18=$D19,AF$12:AF$18,""))))</f>
        <v>N/A</v>
      </c>
      <c r="AJ19" s="96" t="e">
        <f ca="1">AvgThemalFluence(D19)</f>
        <v>#NAME?</v>
      </c>
      <c r="AK19" s="108"/>
      <c r="AL19" s="108"/>
      <c r="AM19" s="108"/>
    </row>
    <row r="20" spans="1:39" ht="6.95" customHeight="1" x14ac:dyDescent="0.2">
      <c r="A20" s="29" t="s">
        <v>27</v>
      </c>
      <c r="B20" s="30"/>
      <c r="C20" s="122"/>
      <c r="D20" s="123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20"/>
      <c r="X20" s="150"/>
      <c r="Y20" s="32"/>
      <c r="Z20" s="32"/>
      <c r="AA20" s="32"/>
      <c r="AB20" s="32"/>
      <c r="AC20" s="32"/>
      <c r="AD20" s="32"/>
      <c r="AE20" s="32"/>
      <c r="AF20" s="32"/>
      <c r="AG20" s="41"/>
      <c r="AH20" s="32"/>
      <c r="AI20" s="140">
        <f t="array" aca="1" ref="AI20" ca="1">SUM(IF($X$12:$X$18="No",1,0))</f>
        <v>1</v>
      </c>
      <c r="AJ20" s="140">
        <f t="array" aca="1" ref="AJ20" ca="1">SUM(IF($X$12:$X$18="Yes",1,0))</f>
        <v>5</v>
      </c>
      <c r="AK20" s="108"/>
      <c r="AL20" s="108"/>
      <c r="AM20" s="108"/>
    </row>
    <row r="21" spans="1:39" x14ac:dyDescent="0.2"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95">
        <f ca="1">SUM(AI19:AI20) - AI20</f>
        <v>0</v>
      </c>
      <c r="AJ21" s="108"/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</sheetData>
  <sheetProtection algorithmName="SHA-512" hashValue="5/Osu73eI4nSI/4pdmSxVJkyJXO9toY677ebLDHipkb7zSE8VpfywhbWSv7FLoS+8AOGYzWaiL0aUV9098rPkw==" saltValue="Z1Hkv//lWHR2yEGe8+dteQ==" spinCount="100000" sheet="1" objects="1" scenarios="1" formatCells="0" formatColumns="0" formatRows="0"/>
  <dataConsolidate/>
  <conditionalFormatting sqref="AD12:AF14">
    <cfRule type="expression" dxfId="117" priority="212" stopIfTrue="1">
      <formula>IF(OFFSET($X12,$A12,0)="Yes",TRUE,FALSE)*IF((LEN($C12)&gt;0),TRUE,FALSE)</formula>
    </cfRule>
    <cfRule type="expression" dxfId="116" priority="213" stopIfTrue="1">
      <formula>IF(OFFSET($X12,$A12,0)="Yes",TRUE,FALSE)</formula>
    </cfRule>
    <cfRule type="expression" dxfId="115" priority="215" stopIfTrue="1">
      <formula>IF((LEN($C12)&gt;0),TRUE,FALSE)</formula>
    </cfRule>
  </conditionalFormatting>
  <conditionalFormatting sqref="AJ12:AK14">
    <cfRule type="expression" dxfId="114" priority="265" stopIfTrue="1">
      <formula>IF((LEN($C12)&gt;0),TRUE,FALSE)</formula>
    </cfRule>
  </conditionalFormatting>
  <conditionalFormatting sqref="C5:C6">
    <cfRule type="expression" dxfId="113" priority="168" stopIfTrue="1">
      <formula>$A$3&gt;1</formula>
    </cfRule>
  </conditionalFormatting>
  <conditionalFormatting sqref="C7:C8">
    <cfRule type="expression" dxfId="112" priority="169" stopIfTrue="1">
      <formula>$A$3&gt;1</formula>
    </cfRule>
  </conditionalFormatting>
  <conditionalFormatting sqref="AA7:AD7">
    <cfRule type="expression" dxfId="111" priority="175" stopIfTrue="1">
      <formula>NOT($A$6)</formula>
    </cfRule>
  </conditionalFormatting>
  <conditionalFormatting sqref="AI12:AI14">
    <cfRule type="expression" dxfId="110" priority="222" stopIfTrue="1">
      <formula>NOT($A$6)*(ROW()&lt;ROW(hEpiThermInd)+$A$10/$A$9+1)</formula>
    </cfRule>
    <cfRule type="expression" dxfId="109" priority="223" stopIfTrue="1">
      <formula>IF((LEN($C12)&gt;0),TRUE,FALSE)</formula>
    </cfRule>
  </conditionalFormatting>
  <conditionalFormatting sqref="T7:T8">
    <cfRule type="expression" dxfId="108" priority="174" stopIfTrue="1">
      <formula>IF(A6*(ETRatio=0)+(NOT(A6))*(SUM(IF(OFFSET($AI$11,1,0,$A$10/$A$9,1)=0,1,0))&gt;0),TRUE,FALSE)</formula>
    </cfRule>
  </conditionalFormatting>
  <conditionalFormatting sqref="AA12:AB14">
    <cfRule type="expression" dxfId="107" priority="203" stopIfTrue="1">
      <formula>IF(OFFSET($X12,$A12,0)="No",TRUE,FALSE)*IF((LEN($C12)&gt;0),TRUE,FALSE)</formula>
    </cfRule>
    <cfRule type="expression" dxfId="106" priority="204" stopIfTrue="1">
      <formula>IF(OFFSET($X12,$A12,0)="No",TRUE,FALSE)</formula>
    </cfRule>
    <cfRule type="expression" dxfId="105" priority="206" stopIfTrue="1">
      <formula>IF((LEN($C12)&gt;0),TRUE,FALSE)</formula>
    </cfRule>
  </conditionalFormatting>
  <conditionalFormatting sqref="U12:U14">
    <cfRule type="expression" dxfId="104" priority="186" stopIfTrue="1">
      <formula>IF((LEN($C12)&gt;0),TRUE,FALSE)*IF($U12&lt;=0.1,TRUE,FALSE)</formula>
    </cfRule>
    <cfRule type="cellIs" dxfId="103" priority="187" stopIfTrue="1" operator="lessThanOrEqual">
      <formula>0.1</formula>
    </cfRule>
    <cfRule type="expression" dxfId="102" priority="195" stopIfTrue="1">
      <formula>IF((LEN($C12)&gt;0),TRUE,FALSE)</formula>
    </cfRule>
  </conditionalFormatting>
  <conditionalFormatting sqref="D8">
    <cfRule type="expression" dxfId="101" priority="171" stopIfTrue="1">
      <formula>AND($D$8&lt;1,$D$8&lt;&gt;"")</formula>
    </cfRule>
    <cfRule type="expression" dxfId="100" priority="173" stopIfTrue="1">
      <formula>$A$3&gt;1</formula>
    </cfRule>
  </conditionalFormatting>
  <conditionalFormatting sqref="C4">
    <cfRule type="expression" dxfId="99" priority="166" stopIfTrue="1">
      <formula>$A$3&gt;1</formula>
    </cfRule>
  </conditionalFormatting>
  <conditionalFormatting sqref="E4">
    <cfRule type="expression" dxfId="98" priority="170" stopIfTrue="1">
      <formula>$A$3&gt;1</formula>
    </cfRule>
  </conditionalFormatting>
  <conditionalFormatting sqref="K12:K14">
    <cfRule type="expression" dxfId="97" priority="183" stopIfTrue="1">
      <formula>IF(LEN($C12)=0,TRUE,FALSE)</formula>
    </cfRule>
    <cfRule type="expression" dxfId="96" priority="184" stopIfTrue="1">
      <formula>IF($H12=1,FALSE,IF((LEN($C12)&gt;0)*($H12&lt;&gt;""),TRUE,FALSE))</formula>
    </cfRule>
    <cfRule type="expression" dxfId="95" priority="185" stopIfTrue="1">
      <formula>IF((LEN($C12)&gt;0),TRUE,FALSE)</formula>
    </cfRule>
  </conditionalFormatting>
  <conditionalFormatting sqref="F12:F14">
    <cfRule type="expression" dxfId="94" priority="180" stopIfTrue="1">
      <formula>IF((LEN($C12)&gt;0),TRUE,FALSE)*IF((OFFSET($C12,$A12,0)="LI6(N,A)T")+(OFFSET($C12,$A12,0)="B10(N,A)LI7"),TRUE,FALSE)</formula>
    </cfRule>
    <cfRule type="expression" dxfId="93" priority="181" stopIfTrue="1">
      <formula>IF((OFFSET($C12,$A12,0)="LI6(N,A)T")+(OFFSET($C12,$A12,0)="B10(N,A)LI7"),TRUE,FALSE)</formula>
    </cfRule>
    <cfRule type="expression" dxfId="92" priority="182" stopIfTrue="1">
      <formula>IF((LEN($C12)&gt;0),TRUE,FALSE)</formula>
    </cfRule>
  </conditionalFormatting>
  <conditionalFormatting sqref="AA8:AD8">
    <cfRule type="expression" dxfId="91" priority="176" stopIfTrue="1">
      <formula>$AJ$18&gt;0</formula>
    </cfRule>
  </conditionalFormatting>
  <conditionalFormatting sqref="D7">
    <cfRule type="expression" dxfId="90" priority="172" stopIfTrue="1">
      <formula>$A$3&gt;1</formula>
    </cfRule>
  </conditionalFormatting>
  <conditionalFormatting sqref="C12:D14 G12:J12 S12:T14 V12:V14 Q12:Q14 AG12:AH14 G13:H14 J13:J14 I13:I17">
    <cfRule type="expression" dxfId="89" priority="177" stopIfTrue="1">
      <formula>IF((LEN($C12)&gt;0),TRUE,FALSE)</formula>
    </cfRule>
  </conditionalFormatting>
  <conditionalFormatting sqref="AC12:AC14">
    <cfRule type="expression" dxfId="88" priority="208" stopIfTrue="1">
      <formula>IF(OFFSET($X12,$A12,0)="Yes",TRUE,FALSE)*IF((LEN($C12)&gt;0),TRUE,FALSE)</formula>
    </cfRule>
    <cfRule type="expression" dxfId="87" priority="209" stopIfTrue="1">
      <formula>IF(OFFSET($X12,$A12,0)="Yes",TRUE,FALSE)+IF(LEN($C12)=0,TRUE,FALSE)</formula>
    </cfRule>
    <cfRule type="expression" dxfId="86" priority="210" stopIfTrue="1">
      <formula>IF((LEN($C12)&gt;0),TRUE,FALSE)</formula>
    </cfRule>
  </conditionalFormatting>
  <conditionalFormatting sqref="Y12:Z14">
    <cfRule type="expression" dxfId="85" priority="196" stopIfTrue="1">
      <formula>IF(OFFSET($X12,$A12,0)="No",TRUE,FALSE)*IF((LEN($C12)&gt;0),TRUE,FALSE)</formula>
    </cfRule>
    <cfRule type="expression" dxfId="84" priority="201" stopIfTrue="1">
      <formula>IF(OFFSET($X12,$A12,0)="No",TRUE,FALSE)+IF(LEN($C12)=0,TRUE,FALSE)</formula>
    </cfRule>
    <cfRule type="expression" dxfId="83" priority="202" stopIfTrue="1">
      <formula>IF((LEN($C12)&gt;0),TRUE,FALSE)</formula>
    </cfRule>
  </conditionalFormatting>
  <conditionalFormatting sqref="E12:E14 L12:P14 R12:R14 X12:X14">
    <cfRule type="expression" dxfId="82" priority="178" stopIfTrue="1">
      <formula>IF(LEN($C12)=0,TRUE,FALSE)</formula>
    </cfRule>
    <cfRule type="expression" dxfId="81" priority="179" stopIfTrue="1">
      <formula>IF((LEN($C12)&gt;0),TRUE,FALSE)</formula>
    </cfRule>
  </conditionalFormatting>
  <conditionalFormatting sqref="AD15:AF15">
    <cfRule type="expression" dxfId="80" priority="160" stopIfTrue="1">
      <formula>IF(OFFSET($X15,$A15,0)="Yes",TRUE,FALSE)*IF((LEN($C15)&gt;0),TRUE,FALSE)</formula>
    </cfRule>
    <cfRule type="expression" dxfId="79" priority="161" stopIfTrue="1">
      <formula>IF(OFFSET($X15,$A15,0)="Yes",TRUE,FALSE)</formula>
    </cfRule>
    <cfRule type="expression" dxfId="78" priority="162" stopIfTrue="1">
      <formula>IF((LEN($C15)&gt;0),TRUE,FALSE)</formula>
    </cfRule>
  </conditionalFormatting>
  <conditionalFormatting sqref="AJ15:AK15">
    <cfRule type="expression" dxfId="77" priority="165" stopIfTrue="1">
      <formula>IF((LEN($C15)&gt;0),TRUE,FALSE)</formula>
    </cfRule>
  </conditionalFormatting>
  <conditionalFormatting sqref="AI15">
    <cfRule type="expression" dxfId="76" priority="163" stopIfTrue="1">
      <formula>NOT($A$6)*(ROW()&lt;ROW(hEpiThermInd)+$A$10/$A$9+1)</formula>
    </cfRule>
    <cfRule type="expression" dxfId="75" priority="164" stopIfTrue="1">
      <formula>IF((LEN($C15)&gt;0),TRUE,FALSE)</formula>
    </cfRule>
  </conditionalFormatting>
  <conditionalFormatting sqref="AA15:AB15">
    <cfRule type="expression" dxfId="74" priority="154" stopIfTrue="1">
      <formula>IF(OFFSET($X15,$A15,0)="No",TRUE,FALSE)*IF((LEN($C15)&gt;0),TRUE,FALSE)</formula>
    </cfRule>
    <cfRule type="expression" dxfId="73" priority="155" stopIfTrue="1">
      <formula>IF(OFFSET($X15,$A15,0)="No",TRUE,FALSE)</formula>
    </cfRule>
    <cfRule type="expression" dxfId="72" priority="156" stopIfTrue="1">
      <formula>IF((LEN($C15)&gt;0),TRUE,FALSE)</formula>
    </cfRule>
  </conditionalFormatting>
  <conditionalFormatting sqref="U15">
    <cfRule type="expression" dxfId="71" priority="148" stopIfTrue="1">
      <formula>IF((LEN($C15)&gt;0),TRUE,FALSE)*IF($U15&lt;=0.1,TRUE,FALSE)</formula>
    </cfRule>
    <cfRule type="cellIs" dxfId="70" priority="149" stopIfTrue="1" operator="lessThanOrEqual">
      <formula>0.1</formula>
    </cfRule>
    <cfRule type="expression" dxfId="69" priority="150" stopIfTrue="1">
      <formula>IF((LEN($C15)&gt;0),TRUE,FALSE)</formula>
    </cfRule>
  </conditionalFormatting>
  <conditionalFormatting sqref="K15">
    <cfRule type="expression" dxfId="68" priority="145" stopIfTrue="1">
      <formula>IF(LEN($C15)=0,TRUE,FALSE)</formula>
    </cfRule>
    <cfRule type="expression" dxfId="67" priority="146" stopIfTrue="1">
      <formula>IF($H15=1,FALSE,IF((LEN($C15)&gt;0)*($H15&lt;&gt;""),TRUE,FALSE))</formula>
    </cfRule>
    <cfRule type="expression" dxfId="66" priority="147" stopIfTrue="1">
      <formula>IF((LEN($C15)&gt;0),TRUE,FALSE)</formula>
    </cfRule>
  </conditionalFormatting>
  <conditionalFormatting sqref="F15">
    <cfRule type="expression" dxfId="65" priority="142" stopIfTrue="1">
      <formula>IF((LEN($C15)&gt;0),TRUE,FALSE)*IF((OFFSET($C15,$A15,0)="LI6(N,A)T")+(OFFSET($C15,$A15,0)="B10(N,A)LI7"),TRUE,FALSE)</formula>
    </cfRule>
    <cfRule type="expression" dxfId="64" priority="143" stopIfTrue="1">
      <formula>IF((OFFSET($C15,$A15,0)="LI6(N,A)T")+(OFFSET($C15,$A15,0)="B10(N,A)LI7"),TRUE,FALSE)</formula>
    </cfRule>
    <cfRule type="expression" dxfId="63" priority="144" stopIfTrue="1">
      <formula>IF((LEN($C15)&gt;0),TRUE,FALSE)</formula>
    </cfRule>
  </conditionalFormatting>
  <conditionalFormatting sqref="C15:D15 G15:H15 S15:T15 V15 Q15 AG15:AH15 J15">
    <cfRule type="expression" dxfId="62" priority="139" stopIfTrue="1">
      <formula>IF((LEN($C15)&gt;0),TRUE,FALSE)</formula>
    </cfRule>
  </conditionalFormatting>
  <conditionalFormatting sqref="AC15">
    <cfRule type="expression" dxfId="61" priority="157" stopIfTrue="1">
      <formula>IF(OFFSET($X15,$A15,0)="Yes",TRUE,FALSE)*IF((LEN($C15)&gt;0),TRUE,FALSE)</formula>
    </cfRule>
    <cfRule type="expression" dxfId="60" priority="158" stopIfTrue="1">
      <formula>IF(OFFSET($X15,$A15,0)="Yes",TRUE,FALSE)+IF(LEN($C15)=0,TRUE,FALSE)</formula>
    </cfRule>
    <cfRule type="expression" dxfId="59" priority="159" stopIfTrue="1">
      <formula>IF((LEN($C15)&gt;0),TRUE,FALSE)</formula>
    </cfRule>
  </conditionalFormatting>
  <conditionalFormatting sqref="Y15:Z15">
    <cfRule type="expression" dxfId="58" priority="151" stopIfTrue="1">
      <formula>IF(OFFSET($X15,$A15,0)="No",TRUE,FALSE)*IF((LEN($C15)&gt;0),TRUE,FALSE)</formula>
    </cfRule>
    <cfRule type="expression" dxfId="57" priority="152" stopIfTrue="1">
      <formula>IF(OFFSET($X15,$A15,0)="No",TRUE,FALSE)+IF(LEN($C15)=0,TRUE,FALSE)</formula>
    </cfRule>
    <cfRule type="expression" dxfId="56" priority="153" stopIfTrue="1">
      <formula>IF((LEN($C15)&gt;0),TRUE,FALSE)</formula>
    </cfRule>
  </conditionalFormatting>
  <conditionalFormatting sqref="E15 L15:P15 R15 X15">
    <cfRule type="expression" dxfId="55" priority="140" stopIfTrue="1">
      <formula>IF(LEN($C15)=0,TRUE,FALSE)</formula>
    </cfRule>
    <cfRule type="expression" dxfId="54" priority="141" stopIfTrue="1">
      <formula>IF((LEN($C15)&gt;0),TRUE,FALSE)</formula>
    </cfRule>
  </conditionalFormatting>
  <conditionalFormatting sqref="AD16:AF16">
    <cfRule type="expression" dxfId="53" priority="133" stopIfTrue="1">
      <formula>IF(OFFSET($X16,$A16,0)="Yes",TRUE,FALSE)*IF((LEN($C16)&gt;0),TRUE,FALSE)</formula>
    </cfRule>
    <cfRule type="expression" dxfId="52" priority="134" stopIfTrue="1">
      <formula>IF(OFFSET($X16,$A16,0)="Yes",TRUE,FALSE)</formula>
    </cfRule>
    <cfRule type="expression" dxfId="51" priority="135" stopIfTrue="1">
      <formula>IF((LEN($C16)&gt;0),TRUE,FALSE)</formula>
    </cfRule>
  </conditionalFormatting>
  <conditionalFormatting sqref="AJ16:AK16">
    <cfRule type="expression" dxfId="50" priority="138" stopIfTrue="1">
      <formula>IF((LEN($C16)&gt;0),TRUE,FALSE)</formula>
    </cfRule>
  </conditionalFormatting>
  <conditionalFormatting sqref="AI16">
    <cfRule type="expression" dxfId="49" priority="136" stopIfTrue="1">
      <formula>NOT($A$6)*(ROW()&lt;ROW(hEpiThermInd)+$A$10/$A$9+1)</formula>
    </cfRule>
    <cfRule type="expression" dxfId="48" priority="137" stopIfTrue="1">
      <formula>IF((LEN($C16)&gt;0),TRUE,FALSE)</formula>
    </cfRule>
  </conditionalFormatting>
  <conditionalFormatting sqref="AA16:AB16">
    <cfRule type="expression" dxfId="47" priority="127" stopIfTrue="1">
      <formula>IF(OFFSET($X16,$A16,0)="No",TRUE,FALSE)*IF((LEN($C16)&gt;0),TRUE,FALSE)</formula>
    </cfRule>
    <cfRule type="expression" dxfId="46" priority="128" stopIfTrue="1">
      <formula>IF(OFFSET($X16,$A16,0)="No",TRUE,FALSE)</formula>
    </cfRule>
    <cfRule type="expression" dxfId="45" priority="129" stopIfTrue="1">
      <formula>IF((LEN($C16)&gt;0),TRUE,FALSE)</formula>
    </cfRule>
  </conditionalFormatting>
  <conditionalFormatting sqref="U16">
    <cfRule type="expression" dxfId="44" priority="121" stopIfTrue="1">
      <formula>IF((LEN($C16)&gt;0),TRUE,FALSE)*IF($U16&lt;=0.1,TRUE,FALSE)</formula>
    </cfRule>
    <cfRule type="cellIs" dxfId="43" priority="122" stopIfTrue="1" operator="lessThanOrEqual">
      <formula>0.1</formula>
    </cfRule>
    <cfRule type="expression" dxfId="42" priority="123" stopIfTrue="1">
      <formula>IF((LEN($C16)&gt;0),TRUE,FALSE)</formula>
    </cfRule>
  </conditionalFormatting>
  <conditionalFormatting sqref="K16">
    <cfRule type="expression" dxfId="41" priority="118" stopIfTrue="1">
      <formula>IF(LEN($C16)=0,TRUE,FALSE)</formula>
    </cfRule>
    <cfRule type="expression" dxfId="40" priority="119" stopIfTrue="1">
      <formula>IF($H16=1,FALSE,IF((LEN($C16)&gt;0)*($H16&lt;&gt;""),TRUE,FALSE))</formula>
    </cfRule>
    <cfRule type="expression" dxfId="39" priority="120" stopIfTrue="1">
      <formula>IF((LEN($C16)&gt;0),TRUE,FALSE)</formula>
    </cfRule>
  </conditionalFormatting>
  <conditionalFormatting sqref="F16">
    <cfRule type="expression" dxfId="38" priority="115" stopIfTrue="1">
      <formula>IF((LEN($C16)&gt;0),TRUE,FALSE)*IF((OFFSET($C16,$A16,0)="LI6(N,A)T")+(OFFSET($C16,$A16,0)="B10(N,A)LI7"),TRUE,FALSE)</formula>
    </cfRule>
    <cfRule type="expression" dxfId="37" priority="116" stopIfTrue="1">
      <formula>IF((OFFSET($C16,$A16,0)="LI6(N,A)T")+(OFFSET($C16,$A16,0)="B10(N,A)LI7"),TRUE,FALSE)</formula>
    </cfRule>
    <cfRule type="expression" dxfId="36" priority="117" stopIfTrue="1">
      <formula>IF((LEN($C16)&gt;0),TRUE,FALSE)</formula>
    </cfRule>
  </conditionalFormatting>
  <conditionalFormatting sqref="C16:D16 G16:H16 S16:T16 V16 Q16 AG16:AH16 J16">
    <cfRule type="expression" dxfId="35" priority="112" stopIfTrue="1">
      <formula>IF((LEN($C16)&gt;0),TRUE,FALSE)</formula>
    </cfRule>
  </conditionalFormatting>
  <conditionalFormatting sqref="AC16">
    <cfRule type="expression" dxfId="34" priority="130" stopIfTrue="1">
      <formula>IF(OFFSET($X16,$A16,0)="Yes",TRUE,FALSE)*IF((LEN($C16)&gt;0),TRUE,FALSE)</formula>
    </cfRule>
    <cfRule type="expression" dxfId="33" priority="131" stopIfTrue="1">
      <formula>IF(OFFSET($X16,$A16,0)="Yes",TRUE,FALSE)+IF(LEN($C16)=0,TRUE,FALSE)</formula>
    </cfRule>
    <cfRule type="expression" dxfId="32" priority="132" stopIfTrue="1">
      <formula>IF((LEN($C16)&gt;0),TRUE,FALSE)</formula>
    </cfRule>
  </conditionalFormatting>
  <conditionalFormatting sqref="Y16:Z16">
    <cfRule type="expression" dxfId="31" priority="124" stopIfTrue="1">
      <formula>IF(OFFSET($X16,$A16,0)="No",TRUE,FALSE)*IF((LEN($C16)&gt;0),TRUE,FALSE)</formula>
    </cfRule>
    <cfRule type="expression" dxfId="30" priority="125" stopIfTrue="1">
      <formula>IF(OFFSET($X16,$A16,0)="No",TRUE,FALSE)+IF(LEN($C16)=0,TRUE,FALSE)</formula>
    </cfRule>
    <cfRule type="expression" dxfId="29" priority="126" stopIfTrue="1">
      <formula>IF((LEN($C16)&gt;0),TRUE,FALSE)</formula>
    </cfRule>
  </conditionalFormatting>
  <conditionalFormatting sqref="E16 L16:P16 R16 X16">
    <cfRule type="expression" dxfId="28" priority="113" stopIfTrue="1">
      <formula>IF(LEN($C16)=0,TRUE,FALSE)</formula>
    </cfRule>
    <cfRule type="expression" dxfId="27" priority="114" stopIfTrue="1">
      <formula>IF((LEN($C16)&gt;0),TRUE,FALSE)</formula>
    </cfRule>
  </conditionalFormatting>
  <conditionalFormatting sqref="AD17:AF17">
    <cfRule type="expression" dxfId="26" priority="106" stopIfTrue="1">
      <formula>IF(OFFSET($X17,$A17,0)="Yes",TRUE,FALSE)*IF((LEN($C17)&gt;0),TRUE,FALSE)</formula>
    </cfRule>
    <cfRule type="expression" dxfId="25" priority="107" stopIfTrue="1">
      <formula>IF(OFFSET($X17,$A17,0)="Yes",TRUE,FALSE)</formula>
    </cfRule>
    <cfRule type="expression" dxfId="24" priority="108" stopIfTrue="1">
      <formula>IF((LEN($C17)&gt;0),TRUE,FALSE)</formula>
    </cfRule>
  </conditionalFormatting>
  <conditionalFormatting sqref="AJ17:AK17">
    <cfRule type="expression" dxfId="23" priority="111" stopIfTrue="1">
      <formula>IF((LEN($C17)&gt;0),TRUE,FALSE)</formula>
    </cfRule>
  </conditionalFormatting>
  <conditionalFormatting sqref="AI17">
    <cfRule type="expression" dxfId="22" priority="109" stopIfTrue="1">
      <formula>NOT($A$6)*(ROW()&lt;ROW(hEpiThermInd)+$A$10/$A$9+1)</formula>
    </cfRule>
    <cfRule type="expression" dxfId="21" priority="110" stopIfTrue="1">
      <formula>IF((LEN($C17)&gt;0),TRUE,FALSE)</formula>
    </cfRule>
  </conditionalFormatting>
  <conditionalFormatting sqref="AA17:AB17">
    <cfRule type="expression" dxfId="20" priority="100" stopIfTrue="1">
      <formula>IF(OFFSET($X17,$A17,0)="No",TRUE,FALSE)*IF((LEN($C17)&gt;0),TRUE,FALSE)</formula>
    </cfRule>
    <cfRule type="expression" dxfId="19" priority="101" stopIfTrue="1">
      <formula>IF(OFFSET($X17,$A17,0)="No",TRUE,FALSE)</formula>
    </cfRule>
    <cfRule type="expression" dxfId="18" priority="102" stopIfTrue="1">
      <formula>IF((LEN($C17)&gt;0),TRUE,FALSE)</formula>
    </cfRule>
  </conditionalFormatting>
  <conditionalFormatting sqref="U17">
    <cfRule type="expression" dxfId="17" priority="94" stopIfTrue="1">
      <formula>IF((LEN($C17)&gt;0),TRUE,FALSE)*IF($U17&lt;=0.1,TRUE,FALSE)</formula>
    </cfRule>
    <cfRule type="cellIs" dxfId="16" priority="95" stopIfTrue="1" operator="lessThanOrEqual">
      <formula>0.1</formula>
    </cfRule>
    <cfRule type="expression" dxfId="15" priority="96" stopIfTrue="1">
      <formula>IF((LEN($C17)&gt;0),TRUE,FALSE)</formula>
    </cfRule>
  </conditionalFormatting>
  <conditionalFormatting sqref="K17">
    <cfRule type="expression" dxfId="14" priority="91" stopIfTrue="1">
      <formula>IF(LEN($C17)=0,TRUE,FALSE)</formula>
    </cfRule>
    <cfRule type="expression" dxfId="13" priority="92" stopIfTrue="1">
      <formula>IF($H17=1,FALSE,IF((LEN($C17)&gt;0)*($H17&lt;&gt;""),TRUE,FALSE))</formula>
    </cfRule>
    <cfRule type="expression" dxfId="12" priority="93" stopIfTrue="1">
      <formula>IF((LEN($C17)&gt;0),TRUE,FALSE)</formula>
    </cfRule>
  </conditionalFormatting>
  <conditionalFormatting sqref="F17">
    <cfRule type="expression" dxfId="11" priority="88" stopIfTrue="1">
      <formula>IF((LEN($C17)&gt;0),TRUE,FALSE)*IF((OFFSET($C17,$A17,0)="LI6(N,A)T")+(OFFSET($C17,$A17,0)="B10(N,A)LI7"),TRUE,FALSE)</formula>
    </cfRule>
    <cfRule type="expression" dxfId="10" priority="89" stopIfTrue="1">
      <formula>IF((OFFSET($C17,$A17,0)="LI6(N,A)T")+(OFFSET($C17,$A17,0)="B10(N,A)LI7"),TRUE,FALSE)</formula>
    </cfRule>
    <cfRule type="expression" dxfId="9" priority="90" stopIfTrue="1">
      <formula>IF((LEN($C17)&gt;0),TRUE,FALSE)</formula>
    </cfRule>
  </conditionalFormatting>
  <conditionalFormatting sqref="C17:D17 G17:H17 S17:T17 V17 Q17 AG17:AH17 J17">
    <cfRule type="expression" dxfId="8" priority="85" stopIfTrue="1">
      <formula>IF((LEN($C17)&gt;0),TRUE,FALSE)</formula>
    </cfRule>
  </conditionalFormatting>
  <conditionalFormatting sqref="AC17">
    <cfRule type="expression" dxfId="7" priority="103" stopIfTrue="1">
      <formula>IF(OFFSET($X17,$A17,0)="Yes",TRUE,FALSE)*IF((LEN($C17)&gt;0),TRUE,FALSE)</formula>
    </cfRule>
    <cfRule type="expression" dxfId="6" priority="104" stopIfTrue="1">
      <formula>IF(OFFSET($X17,$A17,0)="Yes",TRUE,FALSE)+IF(LEN($C17)=0,TRUE,FALSE)</formula>
    </cfRule>
    <cfRule type="expression" dxfId="5" priority="105" stopIfTrue="1">
      <formula>IF((LEN($C17)&gt;0),TRUE,FALSE)</formula>
    </cfRule>
  </conditionalFormatting>
  <conditionalFormatting sqref="Y17:Z17">
    <cfRule type="expression" dxfId="4" priority="97" stopIfTrue="1">
      <formula>IF(OFFSET($X17,$A17,0)="No",TRUE,FALSE)*IF((LEN($C17)&gt;0),TRUE,FALSE)</formula>
    </cfRule>
    <cfRule type="expression" dxfId="3" priority="98" stopIfTrue="1">
      <formula>IF(OFFSET($X17,$A17,0)="No",TRUE,FALSE)+IF(LEN($C17)=0,TRUE,FALSE)</formula>
    </cfRule>
    <cfRule type="expression" dxfId="2" priority="99" stopIfTrue="1">
      <formula>IF((LEN($C17)&gt;0),TRUE,FALSE)</formula>
    </cfRule>
  </conditionalFormatting>
  <conditionalFormatting sqref="E17 L17:P17 R17 X17">
    <cfRule type="expression" dxfId="1" priority="86" stopIfTrue="1">
      <formula>IF(LEN($C17)=0,TRUE,FALSE)</formula>
    </cfRule>
    <cfRule type="expression" dxfId="0" priority="87" stopIfTrue="1">
      <formula>IF((LEN($C17)&gt;0),TRUE,FALSE)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2018-01-05T18:33:00Z</dcterms:modified>
</cp:coreProperties>
</file>