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CleanBeam\SigPhi_Calculator\"/>
    </mc:Choice>
  </mc:AlternateContent>
  <bookViews>
    <workbookView xWindow="-15" yWindow="-15" windowWidth="14115" windowHeight="4365" tabRatio="575" firstSheet="2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SigPhi_Calculations!$AI$20</definedName>
    <definedName name="_xlnm.Print_Area" localSheetId="4">SigPhi_Calculations!$C$1:$AH$20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SigPhi_Calculations!$AI$21</definedName>
  </definedNames>
  <calcPr calcId="152511"/>
</workbook>
</file>

<file path=xl/calcChain.xml><?xml version="1.0" encoding="utf-8"?>
<calcChain xmlns="http://schemas.openxmlformats.org/spreadsheetml/2006/main">
  <c r="F17" i="1" l="1"/>
  <c r="F16" i="1"/>
  <c r="F15" i="1"/>
  <c r="F14" i="1"/>
  <c r="F13" i="1"/>
  <c r="F12" i="1"/>
  <c r="AH17" i="1" l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AK14" i="1" s="1"/>
  <c r="O14" i="1" s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19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AJ17" i="1" l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19" i="1"/>
  <c r="AG19" i="1" s="1"/>
  <c r="AJ13" i="1"/>
  <c r="D13" i="1" s="1"/>
  <c r="AG13" i="1" s="1"/>
  <c r="C7" i="1"/>
  <c r="AK12" i="1"/>
  <c r="R14" i="1"/>
  <c r="R13" i="1"/>
  <c r="L14" i="1"/>
  <c r="X13" i="1"/>
  <c r="M13" i="1"/>
  <c r="L13" i="1"/>
  <c r="E5" i="1"/>
  <c r="E6" i="1"/>
  <c r="D5" i="1"/>
  <c r="D7" i="1" s="1"/>
  <c r="M14" i="1"/>
  <c r="X14" i="1"/>
  <c r="N14" i="1"/>
  <c r="P14" i="1" s="1"/>
  <c r="K14" i="1"/>
  <c r="O13" i="1"/>
  <c r="K13" i="1" s="1"/>
  <c r="N13" i="1"/>
  <c r="P13" i="1" s="1"/>
  <c r="AJ14" i="1"/>
  <c r="B9" i="3"/>
  <c r="D8" i="3"/>
  <c r="AI17" i="1" l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S14" i="1" s="1"/>
  <c r="AC14" i="1"/>
  <c r="Q13" i="1" a="1"/>
  <c r="Q13" i="1" s="1"/>
  <c r="S13" i="1" s="1"/>
  <c r="D9" i="3"/>
  <c r="C9" i="3"/>
  <c r="B10" i="3"/>
  <c r="AI14" i="1"/>
  <c r="T14" i="1" s="1"/>
  <c r="D14" i="1"/>
  <c r="AG14" i="1" s="1"/>
  <c r="AC17" i="1" l="1"/>
  <c r="S17" i="1"/>
  <c r="AC12" i="1"/>
  <c r="S12" i="1"/>
  <c r="AD13" i="1"/>
  <c r="AD14" i="1"/>
  <c r="B11" i="3"/>
  <c r="C10" i="3"/>
  <c r="D10" i="3"/>
  <c r="U17" i="1"/>
  <c r="AD17" i="1" l="1"/>
  <c r="V17" i="1"/>
  <c r="AI20" i="1" a="1"/>
  <c r="AI20" i="1" s="1"/>
  <c r="AJ20" i="1" a="1"/>
  <c r="AJ20" i="1" s="1"/>
  <c r="AJ18" i="1" a="1"/>
  <c r="AJ18" i="1" s="1"/>
  <c r="D11" i="3"/>
  <c r="C11" i="3"/>
  <c r="B12" i="3"/>
  <c r="AE17" i="1" l="1"/>
  <c r="AF17" i="1" s="1"/>
  <c r="AA17" i="1"/>
  <c r="AB17" i="1"/>
  <c r="C12" i="3"/>
  <c r="D12" i="3"/>
  <c r="B13" i="3"/>
  <c r="AJ19" i="1"/>
  <c r="U12" i="1"/>
  <c r="U13" i="1"/>
  <c r="U14" i="1"/>
  <c r="U15" i="1"/>
  <c r="U16" i="1"/>
  <c r="V16" i="1" l="1"/>
  <c r="AE16" i="1" s="1"/>
  <c r="V15" i="1"/>
  <c r="AB15" i="1" s="1"/>
  <c r="V14" i="1"/>
  <c r="AE14" i="1" s="1"/>
  <c r="V13" i="1"/>
  <c r="AF13" i="1" s="1"/>
  <c r="V12" i="1"/>
  <c r="AE12" i="1" s="1"/>
  <c r="AE15" i="1"/>
  <c r="D13" i="3"/>
  <c r="C13" i="3"/>
  <c r="B14" i="3"/>
  <c r="AB12" i="1" l="1"/>
  <c r="AA16" i="1"/>
  <c r="AF12" i="1"/>
  <c r="AF16" i="1"/>
  <c r="AA12" i="1"/>
  <c r="AB16" i="1"/>
  <c r="AA15" i="1"/>
  <c r="AF15" i="1"/>
  <c r="AA13" i="1"/>
  <c r="AF14" i="1"/>
  <c r="AB14" i="1"/>
  <c r="AB13" i="1"/>
  <c r="AE13" i="1"/>
  <c r="AA14" i="1"/>
  <c r="C14" i="3"/>
  <c r="D14" i="3"/>
  <c r="B15" i="3"/>
  <c r="AA19" i="1" l="1" a="1"/>
  <c r="AA19" i="1" s="1"/>
  <c r="AF19" i="1" a="1"/>
  <c r="AF19" i="1" s="1"/>
  <c r="AB19" i="1" a="1"/>
  <c r="AB19" i="1" s="1"/>
  <c r="AI19" i="1" a="1"/>
  <c r="AI19" i="1" s="1"/>
  <c r="AI21" i="1" s="1"/>
  <c r="C15" i="3"/>
  <c r="D15" i="3"/>
  <c r="B16" i="3"/>
  <c r="D16" i="3" l="1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<sst xmlns="http://schemas.openxmlformats.org/spreadsheetml/2006/main" count="1251" uniqueCount="659">
  <si>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</si>
  <si>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</si>
  <si>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</si>
  <si>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</si>
  <si>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</si>
  <si>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</si>
  <si>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</si>
  <si>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</si>
  <si>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</si>
  <si>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</si>
  <si>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</si>
  <si>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</si>
  <si>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</si>
  <si>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</si>
  <si>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</si>
  <si>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</si>
  <si>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</si>
  <si>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</si>
  <si>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</si>
  <si>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</si>
  <si>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</si>
  <si>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</si>
  <si>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</si>
  <si>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</si>
  <si>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</si>
  <si>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</si>
  <si>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</si>
  <si>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</si>
  <si>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</si>
  <si>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</si>
  <si>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</si>
  <si>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</si>
  <si>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</si>
  <si>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</si>
  <si>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</si>
  <si>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</si>
  <si>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</si>
  <si>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</si>
  <si>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</si>
  <si>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</si>
  <si>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</si>
  <si>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</si>
  <si>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</si>
  <si>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</si>
  <si>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</si>
  <si>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</si>
  <si>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</si>
  <si>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</si>
  <si>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</si>
  <si>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</si>
  <si>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</si>
  <si>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</si>
  <si>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</si>
  <si>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</si>
  <si>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</si>
  <si>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</si>
  <si>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</si>
  <si>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</si>
  <si>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</si>
  <si>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</si>
  <si>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</si>
  <si>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</si>
  <si>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</si>
  <si>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</si>
  <si>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</si>
  <si>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</si>
  <si>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</si>
  <si>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</si>
  <si>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</si>
  <si>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</si>
  <si>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</si>
  <si>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</si>
  <si>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</si>
  <si>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</si>
  <si>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</si>
  <si>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</si>
  <si>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</si>
  <si>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</si>
  <si>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</si>
  <si>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</si>
  <si>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</si>
  <si>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</si>
  <si>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</si>
  <si>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</si>
  <si>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</si>
  <si>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</si>
  <si>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</si>
  <si>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</si>
  <si>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</si>
  <si>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</si>
  <si>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</si>
  <si>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</si>
  <si>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</si>
  <si>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</si>
  <si>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</si>
  <si>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</si>
  <si>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</si>
  <si>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</si>
  <si>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</si>
  <si>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</si>
  <si>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</si>
  <si>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</si>
  <si>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</si>
  <si>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</si>
  <si>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</si>
  <si>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</si>
  <si>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</si>
  <si>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</si>
  <si>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</si>
  <si>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</si>
  <si>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</si>
  <si>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</si>
  <si>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</si>
  <si>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</si>
  <si>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</si>
  <si>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</si>
  <si>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</si>
  <si>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</si>
  <si>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</si>
  <si>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</si>
  <si>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</si>
  <si>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</si>
  <si>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</si>
  <si>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</si>
  <si>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</si>
  <si>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</si>
  <si>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</si>
  <si>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</si>
  <si>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</si>
  <si>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</si>
  <si>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</si>
  <si>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</si>
  <si>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</si>
  <si>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</si>
  <si>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</si>
  <si>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</si>
  <si>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</si>
  <si>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</si>
  <si>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</si>
  <si>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</si>
  <si>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</si>
  <si>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</si>
  <si>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</si>
  <si>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</si>
  <si>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</si>
  <si>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</si>
  <si>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</si>
  <si>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</si>
  <si>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</si>
  <si>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</si>
  <si>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</si>
  <si>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</si>
  <si>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</si>
  <si>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</si>
  <si>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</si>
  <si>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</si>
  <si>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</si>
  <si>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</si>
  <si>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</si>
  <si>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</si>
  <si>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</si>
  <si>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</si>
  <si>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</si>
  <si>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</si>
  <si>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</si>
  <si>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</si>
  <si>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</si>
  <si>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</si>
  <si>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</si>
  <si>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</si>
  <si>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</si>
  <si>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</si>
  <si>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</si>
  <si>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</si>
  <si>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</si>
  <si>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</si>
  <si>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</si>
  <si>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</si>
  <si>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</si>
  <si>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</si>
  <si>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</si>
  <si>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</si>
  <si>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</si>
  <si>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</si>
  <si>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</si>
  <si>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</si>
  <si>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</si>
  <si>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</si>
  <si>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</si>
  <si>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</si>
  <si>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</si>
  <si>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</si>
  <si>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</si>
  <si>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</si>
  <si>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</si>
  <si>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</si>
  <si>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</si>
  <si>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</si>
  <si>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</si>
  <si>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</si>
  <si>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</si>
  <si>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</si>
  <si>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</si>
  <si>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</si>
  <si>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</si>
  <si>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</si>
  <si>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</si>
  <si>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</si>
  <si>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</si>
  <si>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</si>
  <si>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</si>
  <si>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</si>
  <si>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</si>
  <si>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</si>
  <si>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</si>
  <si>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</si>
  <si>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</si>
  <si>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</si>
  <si>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</si>
  <si>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</si>
  <si>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</si>
  <si>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</si>
  <si>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</si>
  <si>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</si>
  <si>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</si>
  <si>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</si>
  <si>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</si>
  <si>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</si>
  <si>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</si>
  <si>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</si>
  <si>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</si>
  <si>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</si>
  <si>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</si>
  <si>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</si>
  <si>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</si>
  <si>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</si>
  <si>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</si>
  <si>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</si>
  <si>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</si>
  <si>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</si>
  <si>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</si>
  <si>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</si>
  <si>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</si>
  <si>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</si>
  <si>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</si>
  <si>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</si>
  <si>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</si>
  <si>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</si>
  <si>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</si>
  <si>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</si>
  <si>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</si>
  <si>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</si>
  <si>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</si>
  <si>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</si>
  <si>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</si>
  <si>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</si>
  <si>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</si>
  <si>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</si>
  <si>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</si>
  <si>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</si>
  <si>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</si>
  <si>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</si>
  <si>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</si>
  <si>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</si>
  <si>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</si>
  <si>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</si>
  <si>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</si>
  <si>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</si>
  <si>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</si>
  <si>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</si>
  <si>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</si>
  <si>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</si>
  <si>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</si>
  <si>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</si>
  <si>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</si>
  <si>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</si>
  <si>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</si>
  <si>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</si>
  <si>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</si>
  <si>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</si>
  <si>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</si>
  <si>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</si>
  <si>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</si>
  <si>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</si>
  <si>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</si>
  <si>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</si>
  <si>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</si>
  <si>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</si>
  <si>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</si>
  <si>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</si>
  <si>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</si>
  <si>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</si>
  <si>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</si>
  <si>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</si>
  <si>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</si>
  <si>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</si>
  <si>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</si>
  <si>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</si>
  <si>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</si>
  <si>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</si>
  <si>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</si>
  <si>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</si>
  <si>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</si>
  <si>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</si>
  <si>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</si>
  <si>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</si>
  <si>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</si>
  <si>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</si>
  <si>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</si>
  <si>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</si>
  <si>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</si>
  <si>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</si>
  <si>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</si>
  <si>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</si>
  <si>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</si>
  <si>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</si>
  <si>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</si>
  <si>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</si>
  <si>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</si>
  <si>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</si>
  <si>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</si>
  <si>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</si>
  <si>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</si>
  <si>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</si>
  <si>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</si>
  <si>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</si>
  <si>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</si>
  <si>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</si>
  <si>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</si>
  <si>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</si>
  <si>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</si>
  <si>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</si>
  <si>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</si>
  <si>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</si>
  <si>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</si>
  <si>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</si>
  <si>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</si>
  <si>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</si>
  <si>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</si>
  <si>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</si>
  <si>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</si>
  <si>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</si>
  <si>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</si>
  <si>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</si>
  <si>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</si>
  <si>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</si>
  <si>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</si>
  <si>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</si>
  <si>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</si>
  <si>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</si>
  <si>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</si>
  <si>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</si>
  <si>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</si>
  <si>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</si>
  <si>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</si>
  <si>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</si>
  <si>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</si>
  <si>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</si>
  <si>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</si>
  <si>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</si>
  <si>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</si>
  <si>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</si>
  <si>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</si>
  <si>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</si>
  <si>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</si>
  <si>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</si>
  <si>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</si>
  <si>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</si>
  <si>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</si>
  <si>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</si>
  <si>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</si>
  <si>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</si>
  <si>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</si>
  <si>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</si>
  <si>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</si>
  <si>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</si>
  <si>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</si>
  <si>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</si>
  <si>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</si>
  <si>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</si>
  <si>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</si>
  <si>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</si>
  <si>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</si>
  <si>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</si>
  <si>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</si>
  <si>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</si>
  <si>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</si>
  <si>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</si>
  <si>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</si>
  <si>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</si>
  <si>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</si>
  <si>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</si>
  <si>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</si>
  <si>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</si>
  <si>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</si>
  <si>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</si>
  <si>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</si>
  <si>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</si>
  <si>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</si>
  <si>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</si>
  <si>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</si>
  <si>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</si>
  <si>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</si>
  <si>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</si>
  <si>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</si>
  <si>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</si>
  <si>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</si>
  <si>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</si>
  <si>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</si>
  <si>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</si>
  <si>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</si>
  <si>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</si>
  <si>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</si>
  <si>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</si>
  <si>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</si>
  <si>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</si>
  <si>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</si>
  <si>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</si>
  <si>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</si>
  <si>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</si>
  <si>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</si>
  <si>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</si>
  <si>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</si>
  <si>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</si>
  <si>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</si>
  <si>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</si>
  <si>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</si>
  <si>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</si>
  <si>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</si>
  <si>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</si>
  <si>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</si>
  <si>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</si>
  <si>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</si>
  <si>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</si>
  <si>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</si>
  <si>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</si>
  <si>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</si>
  <si>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</si>
  <si>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</si>
  <si>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</si>
  <si>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</si>
  <si>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</si>
  <si>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</si>
  <si>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</si>
  <si>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</si>
  <si>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</si>
  <si>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</si>
  <si>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</si>
  <si>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</si>
  <si>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</si>
  <si>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</si>
  <si>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</si>
  <si>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</si>
  <si>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</si>
  <si>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</si>
  <si>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</si>
  <si>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</si>
  <si>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</si>
  <si>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</si>
  <si>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</si>
  <si>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</si>
  <si>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</si>
  <si>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</si>
  <si>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</si>
  <si>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</si>
  <si>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</si>
  <si>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</si>
  <si>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</si>
  <si>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</si>
  <si>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</si>
  <si>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</si>
  <si>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</si>
  <si>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</si>
  <si>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</si>
  <si>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</si>
  <si>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</si>
  <si>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</si>
  <si>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</si>
  <si>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</si>
  <si>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</si>
  <si>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</si>
  <si>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</si>
  <si>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</si>
  <si>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</si>
  <si>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</si>
  <si>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</si>
  <si>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</si>
  <si>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</si>
  <si>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</si>
  <si>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</si>
  <si>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</si>
  <si>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</si>
  <si>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</si>
  <si>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</si>
  <si>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</si>
  <si>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</si>
  <si>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</si>
  <si>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</si>
  <si>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</si>
  <si>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</si>
  <si>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</si>
  <si>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</si>
  <si>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</si>
  <si>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</si>
  <si>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</si>
  <si>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</si>
  <si>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</si>
  <si>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</si>
  <si>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</si>
  <si>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</si>
  <si>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</si>
  <si>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</si>
  <si>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</si>
  <si>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</si>
  <si>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</si>
  <si>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</si>
  <si>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</si>
  <si>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</si>
  <si>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</si>
  <si>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</si>
  <si>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</si>
  <si>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</si>
  <si>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</si>
  <si>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</si>
  <si>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</si>
  <si>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</si>
  <si>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</si>
  <si>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</si>
  <si>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</si>
  <si>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</si>
  <si>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</si>
  <si>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</si>
  <si>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</si>
  <si>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</si>
  <si>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</si>
  <si>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</si>
  <si>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</si>
  <si>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</si>
  <si>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</si>
  <si>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</si>
  <si>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</si>
  <si>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</si>
  <si>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</si>
  <si>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</si>
  <si>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</si>
  <si>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</si>
  <si>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</si>
  <si>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</si>
  <si>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</si>
  <si>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</si>
  <si>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</si>
  <si>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</si>
  <si>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</si>
  <si>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</si>
  <si>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</si>
  <si>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</si>
  <si>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</si>
  <si>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</si>
  <si>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</si>
  <si>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</si>
  <si>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</si>
  <si>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</si>
  <si>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</si>
  <si>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</si>
  <si>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</si>
  <si>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</si>
  <si>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</si>
  <si>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</si>
  <si>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</si>
  <si>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</si>
  <si>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</si>
  <si>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</si>
  <si>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</si>
  <si>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</si>
  <si>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</si>
  <si>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</si>
  <si>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</si>
  <si>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</si>
  <si>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</si>
  <si>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</si>
  <si>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</si>
  <si>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</si>
  <si>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</si>
  <si>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</si>
  <si>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</si>
  <si>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</si>
  <si>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</si>
  <si>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</si>
  <si>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</si>
  <si>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</si>
  <si>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</si>
  <si>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</si>
  <si>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</si>
  <si>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</si>
  <si>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</si>
  <si>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</si>
  <si>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</si>
  <si>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</si>
  <si>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</si>
  <si>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</si>
  <si>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</si>
  <si>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</si>
  <si>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</si>
  <si>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</si>
  <si>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</si>
  <si>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</si>
  <si>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</si>
  <si>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</si>
  <si>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</si>
  <si>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</si>
  <si>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</si>
  <si>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</si>
  <si>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</si>
  <si>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</si>
  <si>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</si>
  <si>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</si>
  <si>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</si>
  <si>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</si>
  <si>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</si>
  <si>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</si>
  <si>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</si>
  <si>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</si>
  <si>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</si>
  <si>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</si>
  <si>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</si>
  <si>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</si>
  <si>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</si>
  <si>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</si>
  <si>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</si>
  <si>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</si>
  <si>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</si>
  <si>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</si>
  <si>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CleanBeam</t>
  </si>
  <si>
    <t>2017-Dec-27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</si>
  <si>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</si>
  <si>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</si>
  <si>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</si>
  <si>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</si>
  <si>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</si>
  <si>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</si>
  <si>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</si>
  <si>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</si>
  <si>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</si>
  <si>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</si>
  <si>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</si>
  <si>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</si>
  <si>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</si>
  <si>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</si>
  <si>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</si>
  <si>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</si>
  <si>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</si>
  <si>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</si>
  <si>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</si>
  <si>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</si>
  <si>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</si>
  <si>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</si>
  <si>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</si>
  <si>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Beam</t>
  </si>
  <si>
    <t>0 - 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</si>
</sst>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5" formatCode="yyyy\-mmm\-dd"/>
    <numFmt numFmtId="166" formatCode="0.000E+00"/>
    <numFmt numFmtId="167" formatCode="0.0000E+00"/>
    <numFmt numFmtId="168" formatCode="0.0000"/>
    <numFmt numFmtId="176" formatCode="?0.0????"/>
    <numFmt numFmtId="177" formatCode="\ \ ?0.0????"/>
    <numFmt numFmtId="178" formatCode="0.000"/>
    <numFmt numFmtId="179" formatCode="0.00000"/>
    <numFmt numFmtId="181" formatCode="0.00000\ E+00"/>
    <numFmt numFmtId="182" formatCode="0.0000\ E+00"/>
    <numFmt numFmtId="183" formatCode="\(General\ &quot;unique)&quot;"/>
    <numFmt numFmtId="184" formatCode="General\ &quot;Non-thresh. rxn&quot;"/>
    <numFmt numFmtId="185" formatCode="General\ &quot;Covers&quot;"/>
    <numFmt numFmtId="187" formatCode="* ??0.0???????\ \ "/>
    <numFmt numFmtId="188" formatCode="\ \ \ \ \ 0.0?????\ ;\ \ \ \ \-0.0?????\ ;0\ \ \ \ \ \ \ \ ;@"/>
    <numFmt numFmtId="189" formatCode="* ????0.0??\ \ "/>
    <numFmt numFmtId="190" formatCode="* ????0.0????\ \ \ "/>
    <numFmt numFmtId="192" formatCode="General\ &quot;Unique Thermal MAT&quot;"/>
    <numFmt numFmtId="193" formatCode="* ??0.0?????????\ \ "/>
  </numFmts>
  <fonts count="67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10"/>
      <color indexed="12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10"/>
      <color indexed="12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12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33" fillId="2" borderId="26" xfId="0" applyFont="1" applyFill="1" applyBorder="1" applyAlignment="1">
      <alignment horizontal="centerContinuous"/>
    </xf>
    <xf numFmtId="0" fontId="33" fillId="2" borderId="27" xfId="0" applyFont="1" applyFill="1" applyBorder="1" applyAlignment="1">
      <alignment horizontal="centerContinuous"/>
    </xf>
    <xf numFmtId="0" fontId="33" fillId="2" borderId="28" xfId="0" applyFont="1" applyFill="1" applyBorder="1" applyAlignment="1">
      <alignment horizontal="centerContinuous"/>
    </xf>
    <xf numFmtId="0" fontId="33" fillId="3" borderId="26" xfId="0" applyFont="1" applyFill="1" applyBorder="1" applyAlignment="1">
      <alignment horizontal="centerContinuous"/>
    </xf>
    <xf numFmtId="0" fontId="33" fillId="3" borderId="27" xfId="0" applyFont="1" applyFill="1" applyBorder="1" applyAlignment="1">
      <alignment horizontal="centerContinuous"/>
    </xf>
    <xf numFmtId="0" fontId="33" fillId="3" borderId="28" xfId="0" applyFont="1" applyFill="1" applyBorder="1" applyAlignment="1">
      <alignment horizontal="centerContinuous"/>
    </xf>
    <xf numFmtId="0" fontId="33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36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0" fontId="36" fillId="0" borderId="0" xfId="0" applyFont="1" applyAlignment="1">
      <alignment horizontal="right"/>
    </xf>
    <xf numFmtId="0" fontId="37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7" fillId="0" borderId="31" xfId="0" applyFont="1" applyBorder="1" applyAlignment="1">
      <alignment horizontal="center" vertical="center" wrapText="1"/>
    </xf>
    <xf numFmtId="177" fontId="0" fillId="0" borderId="30" xfId="0" applyNumberFormat="1" applyBorder="1" applyAlignment="1">
      <alignment horizontal="center"/>
    </xf>
    <xf numFmtId="176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0" fontId="33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33" fillId="5" borderId="28" xfId="0" applyFont="1" applyFill="1" applyBorder="1" applyAlignment="1">
      <alignment horizontal="centerContinuous"/>
    </xf>
    <xf numFmtId="0" fontId="38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36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9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32" fillId="6" borderId="4" xfId="0" applyFont="1" applyFill="1" applyBorder="1"/>
    <xf numFmtId="0" fontId="37" fillId="0" borderId="1" xfId="0" applyFont="1" applyBorder="1" applyAlignment="1">
      <alignment horizontal="center" vertical="center" wrapText="1"/>
    </xf>
    <xf numFmtId="0" fontId="35" fillId="0" borderId="30" xfId="0" applyFont="1" applyBorder="1"/>
    <xf numFmtId="0" fontId="0" fillId="0" borderId="33" xfId="0" applyBorder="1" applyAlignment="1">
      <alignment horizontal="center"/>
    </xf>
    <xf numFmtId="0" fontId="35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40" fillId="0" borderId="33" xfId="0" applyFont="1" applyBorder="1" applyAlignment="1">
      <alignment horizontal="center"/>
    </xf>
    <xf numFmtId="0" fontId="33" fillId="0" borderId="0" xfId="0" applyFont="1" applyBorder="1" applyAlignment="1">
      <alignment horizontal="center" vertical="center" wrapText="1"/>
    </xf>
    <xf numFmtId="181" fontId="0" fillId="0" borderId="30" xfId="0" applyNumberFormat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181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41" fillId="0" borderId="0" xfId="0" applyFont="1" applyAlignment="1">
      <alignment horizontal="right"/>
    </xf>
    <xf numFmtId="0" fontId="42" fillId="0" borderId="0" xfId="0" applyFont="1"/>
    <xf numFmtId="0" fontId="13" fillId="0" borderId="5" xfId="0" applyFont="1" applyBorder="1" applyAlignment="1">
      <alignment horizontal="center"/>
    </xf>
    <xf numFmtId="183" fontId="14" fillId="0" borderId="0" xfId="0" applyNumberFormat="1" applyFont="1" applyAlignment="1">
      <alignment horizontal="center"/>
    </xf>
    <xf numFmtId="184" fontId="14" fillId="0" borderId="0" xfId="0" applyNumberFormat="1" applyFont="1" applyAlignment="1">
      <alignment horizontal="center"/>
    </xf>
    <xf numFmtId="185" fontId="14" fillId="0" borderId="0" xfId="0" applyNumberFormat="1" applyFont="1" applyAlignment="1">
      <alignment horizontal="center" wrapText="1"/>
    </xf>
    <xf numFmtId="0" fontId="43" fillId="0" borderId="0" xfId="0" applyFont="1"/>
    <xf numFmtId="0" fontId="36" fillId="0" borderId="1" xfId="0" applyFont="1" applyFill="1" applyBorder="1" applyAlignment="1">
      <alignment horizontal="center" vertical="center" wrapText="1"/>
    </xf>
    <xf numFmtId="0" fontId="36" fillId="0" borderId="6" xfId="0" applyFont="1" applyFill="1" applyBorder="1" applyAlignment="1">
      <alignment horizontal="center" vertical="center" wrapText="1"/>
    </xf>
    <xf numFmtId="0" fontId="37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87" fontId="0" fillId="0" borderId="34" xfId="0" applyNumberFormat="1" applyBorder="1" applyAlignment="1"/>
    <xf numFmtId="188" fontId="0" fillId="0" borderId="33" xfId="0" quotePrefix="1" applyNumberFormat="1" applyBorder="1" applyAlignment="1">
      <alignment horizontal="center"/>
    </xf>
    <xf numFmtId="18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8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88" fontId="0" fillId="8" borderId="33" xfId="0" applyNumberFormat="1" applyFill="1" applyBorder="1" applyAlignment="1">
      <alignment horizontal="center"/>
    </xf>
    <xf numFmtId="0" fontId="44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6" fillId="0" borderId="33" xfId="0" applyFont="1" applyBorder="1" applyAlignment="1">
      <alignment horizontal="center"/>
    </xf>
    <xf numFmtId="0" fontId="46" fillId="0" borderId="33" xfId="0" applyFont="1" applyBorder="1"/>
    <xf numFmtId="0" fontId="46" fillId="0" borderId="33" xfId="0" applyFont="1" applyFill="1" applyBorder="1"/>
    <xf numFmtId="0" fontId="45" fillId="0" borderId="1" xfId="0" applyNumberFormat="1" applyFont="1" applyBorder="1" applyAlignment="1">
      <alignment horizontal="center" vertical="center" wrapText="1"/>
    </xf>
    <xf numFmtId="0" fontId="45" fillId="0" borderId="1" xfId="0" applyFont="1" applyFill="1" applyBorder="1" applyAlignment="1">
      <alignment horizontal="center" vertical="center" wrapText="1"/>
    </xf>
    <xf numFmtId="0" fontId="45" fillId="0" borderId="6" xfId="0" applyFont="1" applyFill="1" applyBorder="1" applyAlignment="1">
      <alignment horizontal="center" vertical="center" wrapText="1"/>
    </xf>
    <xf numFmtId="0" fontId="46" fillId="0" borderId="33" xfId="0" applyNumberFormat="1" applyFont="1" applyBorder="1" applyAlignment="1">
      <alignment horizontal="center"/>
    </xf>
    <xf numFmtId="0" fontId="46" fillId="4" borderId="33" xfId="0" applyNumberFormat="1" applyFont="1" applyFill="1" applyBorder="1" applyAlignment="1">
      <alignment horizontal="center"/>
    </xf>
    <xf numFmtId="190" fontId="46" fillId="0" borderId="33" xfId="0" applyNumberFormat="1" applyFont="1" applyBorder="1"/>
    <xf numFmtId="190" fontId="46" fillId="0" borderId="33" xfId="0" quotePrefix="1" applyNumberFormat="1" applyFont="1" applyBorder="1" applyAlignment="1">
      <alignment horizontal="center"/>
    </xf>
    <xf numFmtId="190" fontId="46" fillId="8" borderId="33" xfId="0" applyNumberFormat="1" applyFont="1" applyFill="1" applyBorder="1"/>
    <xf numFmtId="190" fontId="46" fillId="0" borderId="33" xfId="0" applyNumberFormat="1" applyFont="1" applyFill="1" applyBorder="1"/>
    <xf numFmtId="0" fontId="46" fillId="0" borderId="34" xfId="0" applyFont="1" applyBorder="1"/>
    <xf numFmtId="0" fontId="46" fillId="0" borderId="33" xfId="0" applyFont="1" applyFill="1" applyBorder="1" applyAlignment="1">
      <alignment horizontal="center"/>
    </xf>
    <xf numFmtId="0" fontId="47" fillId="0" borderId="0" xfId="0" applyFont="1" applyAlignment="1">
      <alignment horizontal="center"/>
    </xf>
    <xf numFmtId="0" fontId="36" fillId="0" borderId="4" xfId="0" applyFont="1" applyBorder="1" applyAlignment="1"/>
    <xf numFmtId="0" fontId="42" fillId="0" borderId="0" xfId="0" applyFont="1" applyAlignment="1">
      <alignment horizontal="center"/>
    </xf>
    <xf numFmtId="178" fontId="48" fillId="0" borderId="0" xfId="0" applyNumberFormat="1" applyFont="1" applyAlignment="1">
      <alignment horizontal="center"/>
    </xf>
    <xf numFmtId="0" fontId="48" fillId="0" borderId="0" xfId="0" applyNumberFormat="1" applyFont="1" applyAlignment="1">
      <alignment horizontal="center"/>
    </xf>
    <xf numFmtId="0" fontId="49" fillId="0" borderId="1" xfId="0" applyFont="1" applyBorder="1" applyAlignment="1">
      <alignment horizontal="center" vertical="center" wrapText="1"/>
    </xf>
    <xf numFmtId="0" fontId="50" fillId="8" borderId="7" xfId="0" applyFont="1" applyFill="1" applyBorder="1" applyAlignment="1">
      <alignment horizontal="centerContinuous"/>
    </xf>
    <xf numFmtId="0" fontId="39" fillId="8" borderId="8" xfId="0" applyFont="1" applyFill="1" applyBorder="1" applyAlignment="1">
      <alignment horizontal="centerContinuous"/>
    </xf>
    <xf numFmtId="0" fontId="51" fillId="8" borderId="9" xfId="0" applyFont="1" applyFill="1" applyBorder="1" applyAlignment="1">
      <alignment horizontal="centerContinuous"/>
    </xf>
    <xf numFmtId="0" fontId="39" fillId="8" borderId="10" xfId="0" applyFont="1" applyFill="1" applyBorder="1" applyAlignment="1">
      <alignment horizontal="centerContinuous"/>
    </xf>
    <xf numFmtId="0" fontId="39" fillId="8" borderId="11" xfId="0" quotePrefix="1" applyFont="1" applyFill="1" applyBorder="1" applyAlignment="1">
      <alignment horizontal="centerContinuous"/>
    </xf>
    <xf numFmtId="0" fontId="39" fillId="8" borderId="12" xfId="0" applyFont="1" applyFill="1" applyBorder="1" applyAlignment="1">
      <alignment horizontal="centerContinuous"/>
    </xf>
    <xf numFmtId="0" fontId="0" fillId="0" borderId="0" xfId="0" applyFill="1" applyBorder="1"/>
    <xf numFmtId="178" fontId="48" fillId="0" borderId="0" xfId="0" applyNumberFormat="1" applyFont="1" applyAlignment="1">
      <alignment horizontal="center" wrapText="1"/>
    </xf>
    <xf numFmtId="0" fontId="39" fillId="0" borderId="13" xfId="0" applyFont="1" applyBorder="1" applyAlignment="1">
      <alignment horizontal="center"/>
    </xf>
    <xf numFmtId="0" fontId="35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9" fontId="0" fillId="0" borderId="30" xfId="0" applyNumberFormat="1" applyFill="1" applyBorder="1" applyAlignment="1">
      <alignment horizontal="center"/>
    </xf>
    <xf numFmtId="181" fontId="0" fillId="0" borderId="30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32" fillId="6" borderId="4" xfId="0" applyFont="1" applyFill="1" applyBorder="1" applyProtection="1"/>
    <xf numFmtId="0" fontId="0" fillId="6" borderId="4" xfId="0" applyFill="1" applyBorder="1" applyProtection="1"/>
    <xf numFmtId="0" fontId="35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82" fontId="0" fillId="0" borderId="30" xfId="0" applyNumberFormat="1" applyBorder="1" applyProtection="1"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8" fontId="0" fillId="0" borderId="0" xfId="0" applyNumberFormat="1" applyAlignment="1" applyProtection="1">
      <alignment horizontal="center"/>
    </xf>
    <xf numFmtId="0" fontId="36" fillId="0" borderId="4" xfId="0" applyFont="1" applyBorder="1" applyAlignment="1">
      <alignment horizontal="right" vertical="top"/>
    </xf>
    <xf numFmtId="165" fontId="0" fillId="0" borderId="4" xfId="0" applyNumberFormat="1" applyBorder="1" applyAlignment="1" applyProtection="1">
      <alignment horizontal="center" vertical="top"/>
      <protection locked="0"/>
    </xf>
    <xf numFmtId="0" fontId="41" fillId="0" borderId="0" xfId="0" applyFont="1" applyAlignment="1">
      <alignment horizontal="right" vertical="top"/>
    </xf>
    <xf numFmtId="165" fontId="0" fillId="0" borderId="0" xfId="0" applyNumberFormat="1" applyBorder="1" applyAlignment="1">
      <alignment horizontal="center" vertical="top"/>
    </xf>
    <xf numFmtId="0" fontId="35" fillId="0" borderId="0" xfId="0" applyFont="1" applyAlignment="1">
      <alignment horizontal="right" vertical="top"/>
    </xf>
    <xf numFmtId="166" fontId="38" fillId="0" borderId="0" xfId="0" applyNumberFormat="1" applyFont="1" applyAlignment="1">
      <alignment horizontal="center"/>
    </xf>
    <xf numFmtId="0" fontId="35" fillId="0" borderId="37" xfId="0" applyFont="1" applyBorder="1" applyAlignment="1">
      <alignment horizontal="right" vertical="center"/>
    </xf>
    <xf numFmtId="0" fontId="35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53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54" fillId="8" borderId="9" xfId="0" applyFont="1" applyFill="1" applyBorder="1" applyAlignment="1">
      <alignment horizontal="centerContinuous"/>
    </xf>
    <xf numFmtId="0" fontId="54" fillId="8" borderId="10" xfId="0" applyFont="1" applyFill="1" applyBorder="1" applyAlignment="1">
      <alignment horizontal="centerContinuous"/>
    </xf>
    <xf numFmtId="0" fontId="55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40" fillId="2" borderId="38" xfId="0" applyFont="1" applyFill="1" applyBorder="1" applyAlignment="1" applyProtection="1">
      <alignment horizontal="center" vertical="center"/>
      <protection locked="0"/>
    </xf>
    <xf numFmtId="0" fontId="35" fillId="0" borderId="30" xfId="0" applyFont="1" applyBorder="1" applyAlignment="1">
      <alignment horizontal="center"/>
    </xf>
    <xf numFmtId="0" fontId="35" fillId="6" borderId="4" xfId="0" applyFont="1" applyFill="1" applyBorder="1"/>
    <xf numFmtId="0" fontId="35" fillId="6" borderId="0" xfId="0" applyFont="1" applyFill="1"/>
    <xf numFmtId="0" fontId="51" fillId="0" borderId="1" xfId="0" applyFont="1" applyBorder="1" applyAlignment="1">
      <alignment horizontal="center" vertical="center" textRotation="90" wrapText="1"/>
    </xf>
    <xf numFmtId="0" fontId="35" fillId="0" borderId="33" xfId="0" applyFont="1" applyBorder="1" applyAlignment="1">
      <alignment horizontal="center"/>
    </xf>
    <xf numFmtId="0" fontId="57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8" fillId="2" borderId="28" xfId="0" applyFont="1" applyFill="1" applyBorder="1" applyAlignment="1" applyProtection="1">
      <protection locked="0"/>
    </xf>
    <xf numFmtId="0" fontId="0" fillId="11" borderId="0" xfId="0" applyFill="1"/>
    <xf numFmtId="0" fontId="59" fillId="0" borderId="1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50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76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61" fillId="8" borderId="9" xfId="0" applyFont="1" applyFill="1" applyBorder="1" applyAlignment="1">
      <alignment horizontal="centerContinuous"/>
    </xf>
    <xf numFmtId="0" fontId="62" fillId="0" borderId="3" xfId="0" applyFont="1" applyBorder="1" applyAlignment="1">
      <alignment horizontal="right"/>
    </xf>
    <xf numFmtId="0" fontId="63" fillId="0" borderId="0" xfId="0" applyFont="1" applyBorder="1" applyAlignment="1">
      <alignment horizontal="center"/>
    </xf>
    <xf numFmtId="0" fontId="33" fillId="0" borderId="18" xfId="0" applyFont="1" applyBorder="1" applyAlignment="1">
      <alignment horizontal="right" vertical="center"/>
    </xf>
    <xf numFmtId="0" fontId="33" fillId="0" borderId="19" xfId="0" applyFont="1" applyBorder="1" applyAlignment="1">
      <alignment horizontal="right" vertical="center"/>
    </xf>
    <xf numFmtId="0" fontId="47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64" fillId="0" borderId="10" xfId="0" applyNumberFormat="1" applyFont="1" applyBorder="1" applyAlignment="1">
      <alignment horizontal="center"/>
    </xf>
    <xf numFmtId="0" fontId="65" fillId="0" borderId="17" xfId="0" applyNumberFormat="1" applyFont="1" applyBorder="1" applyAlignment="1">
      <alignment horizontal="center"/>
    </xf>
    <xf numFmtId="0" fontId="33" fillId="12" borderId="17" xfId="0" applyFont="1" applyFill="1" applyBorder="1" applyAlignment="1">
      <alignment horizontal="center"/>
    </xf>
    <xf numFmtId="0" fontId="33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7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33" fillId="0" borderId="22" xfId="0" applyFont="1" applyBorder="1" applyAlignment="1">
      <alignment horizontal="right" vertical="center"/>
    </xf>
    <xf numFmtId="0" fontId="0" fillId="0" borderId="23" xfId="0" applyBorder="1"/>
    <xf numFmtId="0" fontId="33" fillId="0" borderId="0" xfId="0" applyFont="1"/>
    <xf numFmtId="0" fontId="0" fillId="0" borderId="0" xfId="0" applyFont="1"/>
    <xf numFmtId="0" fontId="38" fillId="6" borderId="4" xfId="0" applyFont="1" applyFill="1" applyBorder="1" applyAlignment="1">
      <alignment vertical="center"/>
    </xf>
    <xf numFmtId="192" fontId="30" fillId="0" borderId="0" xfId="0" applyNumberFormat="1" applyFont="1" applyAlignment="1">
      <alignment horizontal="center"/>
    </xf>
    <xf numFmtId="0" fontId="66" fillId="0" borderId="2" xfId="0" applyFont="1" applyBorder="1" applyAlignment="1">
      <alignment horizontal="right" vertical="center"/>
    </xf>
    <xf numFmtId="176" fontId="0" fillId="0" borderId="0" xfId="0" applyNumberFormat="1" applyBorder="1" applyAlignment="1" applyProtection="1">
      <alignment horizontal="center"/>
      <protection locked="0"/>
    </xf>
    <xf numFmtId="0" fontId="62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8" fontId="48" fillId="0" borderId="4" xfId="0" applyNumberFormat="1" applyFont="1" applyBorder="1" applyAlignment="1">
      <alignment horizontal="center"/>
    </xf>
    <xf numFmtId="0" fontId="53" fillId="0" borderId="4" xfId="0" applyNumberFormat="1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51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46" fillId="0" borderId="30" xfId="0" applyFont="1" applyBorder="1" applyAlignment="1">
      <alignment horizontal="center"/>
    </xf>
    <xf numFmtId="0" fontId="46" fillId="0" borderId="30" xfId="0" applyFont="1" applyBorder="1"/>
    <xf numFmtId="0" fontId="0" fillId="0" borderId="30" xfId="0" applyFill="1" applyBorder="1"/>
    <xf numFmtId="0" fontId="46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87" fontId="0" fillId="0" borderId="39" xfId="0" applyNumberFormat="1" applyBorder="1" applyAlignment="1"/>
    <xf numFmtId="188" fontId="0" fillId="0" borderId="30" xfId="0" applyNumberFormat="1" applyBorder="1" applyAlignment="1">
      <alignment horizontal="center"/>
    </xf>
    <xf numFmtId="0" fontId="46" fillId="4" borderId="30" xfId="0" applyNumberFormat="1" applyFont="1" applyFill="1" applyBorder="1" applyAlignment="1">
      <alignment horizontal="center"/>
    </xf>
    <xf numFmtId="18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46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93" fontId="46" fillId="0" borderId="33" xfId="0" applyNumberFormat="1" applyFont="1" applyBorder="1"/>
    <xf numFmtId="193" fontId="46" fillId="0" borderId="33" xfId="0" applyNumberFormat="1" applyFont="1" applyBorder="1" applyAlignment="1">
      <alignment horizontal="center"/>
    </xf>
    <xf numFmtId="18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65" fillId="0" borderId="0" xfId="0" applyNumberFormat="1" applyFont="1" applyBorder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52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18"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726880"/>
        <c:axId val="432727272"/>
      </c:scatterChart>
      <c:valAx>
        <c:axId val="432726880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727272"/>
        <c:crosses val="autoZero"/>
        <c:crossBetween val="midCat"/>
        <c:majorUnit val="1"/>
        <c:minorUnit val="0.25"/>
      </c:valAx>
      <c:valAx>
        <c:axId val="432727272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726880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0" activePane="bottomRight" state="frozenSplit"/>
      <selection pane="topRight" activeCell="D1" sqref="D1"/>
      <selection pane="bottomLeft" activeCell="A5" sqref="A5"/>
      <selection pane="bottomRight" activeCell="C62" sqref="C6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zoomScale="120" zoomScaleNormal="120" workbookViewId="0">
      <selection activeCell="A3" sqref="A3:H61"/>
    </sheetView>
  </sheetViews>
  <sheetFormatPr defaultColWidth="8.7109375" defaultRowHeight="12.75" x14ac:dyDescent="0.2"/>
  <cols>
    <col min="1" max="1" width="8.7109375" style="115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634</v>
      </c>
      <c r="C3" s="116" t="s">
        <v>635</v>
      </c>
      <c r="D3" s="118">
        <v>0</v>
      </c>
      <c r="E3" s="115" t="s">
        <v>636</v>
      </c>
      <c r="F3" s="115" t="s">
        <v>635</v>
      </c>
      <c r="G3" s="118">
        <v>0</v>
      </c>
      <c r="H3" s="115" t="s">
        <v>412</v>
      </c>
    </row>
    <row r="4" spans="1:10" x14ac:dyDescent="0.2">
      <c r="B4" s="115" t="s">
        <v>637</v>
      </c>
      <c r="C4" s="116" t="s">
        <v>635</v>
      </c>
      <c r="D4" s="118">
        <v>9.1041700000000003E-2</v>
      </c>
      <c r="E4" s="118" t="s">
        <v>636</v>
      </c>
      <c r="F4" s="115" t="s">
        <v>635</v>
      </c>
      <c r="G4" s="118">
        <v>7866</v>
      </c>
      <c r="H4" s="115" t="s">
        <v>412</v>
      </c>
    </row>
    <row r="5" spans="1:10" x14ac:dyDescent="0.2">
      <c r="B5" s="115" t="s">
        <v>638</v>
      </c>
      <c r="C5" s="116" t="s">
        <v>635</v>
      </c>
      <c r="D5" s="118">
        <v>7.6276399999999999E-7</v>
      </c>
      <c r="E5" s="115" t="s">
        <v>639</v>
      </c>
      <c r="F5" s="118" t="s">
        <v>635</v>
      </c>
      <c r="G5" s="118">
        <v>6.5902799999999997E-2</v>
      </c>
      <c r="H5" s="115" t="s">
        <v>640</v>
      </c>
    </row>
    <row r="6" spans="1:10" x14ac:dyDescent="0.2">
      <c r="B6" s="115" t="s">
        <v>641</v>
      </c>
      <c r="C6" s="116" t="s">
        <v>635</v>
      </c>
      <c r="D6" s="118">
        <v>8.3781899999999998E-6</v>
      </c>
      <c r="E6" s="115" t="s">
        <v>642</v>
      </c>
      <c r="G6" s="118"/>
    </row>
    <row r="8" spans="1:10" x14ac:dyDescent="0.2">
      <c r="A8" s="116" t="s">
        <v>643</v>
      </c>
      <c r="B8" s="116" t="s">
        <v>644</v>
      </c>
      <c r="C8" s="116" t="s">
        <v>645</v>
      </c>
      <c r="D8" s="116" t="s">
        <v>646</v>
      </c>
      <c r="E8" s="116" t="s">
        <v>647</v>
      </c>
      <c r="F8" s="116" t="s">
        <v>648</v>
      </c>
      <c r="G8" s="116" t="s">
        <v>649</v>
      </c>
      <c r="H8" s="116" t="s">
        <v>650</v>
      </c>
    </row>
    <row r="9" spans="1:10" x14ac:dyDescent="0.2">
      <c r="A9" s="116" t="s">
        <v>651</v>
      </c>
      <c r="B9" s="116" t="s">
        <v>652</v>
      </c>
      <c r="C9" s="116" t="s">
        <v>653</v>
      </c>
      <c r="D9" s="116" t="s">
        <v>654</v>
      </c>
      <c r="E9" s="116" t="s">
        <v>655</v>
      </c>
      <c r="F9" s="119" t="s">
        <v>651</v>
      </c>
      <c r="G9" s="119" t="s">
        <v>651</v>
      </c>
      <c r="H9" s="116" t="s">
        <v>651</v>
      </c>
    </row>
    <row r="10" spans="1:10" x14ac:dyDescent="0.2">
      <c r="A10" s="115" t="s">
        <v>45</v>
      </c>
      <c r="B10" s="118" t="s">
        <v>656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4.7184999999999998E-6</v>
      </c>
      <c r="F11" s="118">
        <v>0.56318000000000001</v>
      </c>
      <c r="G11" s="118">
        <v>0.56308999999999998</v>
      </c>
      <c r="H11" s="115">
        <v>1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5.5614E-10</v>
      </c>
      <c r="F12" s="118">
        <v>6.6379999999999998E-5</v>
      </c>
      <c r="G12" s="118">
        <v>6.6379999999999998E-5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8.0712999999999995E-7</v>
      </c>
      <c r="F13" s="118">
        <v>9.6337000000000006E-2</v>
      </c>
      <c r="G13" s="118">
        <v>9.6337999999999993E-2</v>
      </c>
      <c r="H13" s="115">
        <v>1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8.4426999999999997E-6</v>
      </c>
      <c r="F14" s="118">
        <v>1.0077</v>
      </c>
      <c r="G14" s="118">
        <v>0.99992999999999999</v>
      </c>
      <c r="H14" s="115">
        <v>1.008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8.3544999999999994E-6</v>
      </c>
      <c r="F15" s="118">
        <v>0.99717</v>
      </c>
      <c r="G15" s="118">
        <v>1</v>
      </c>
      <c r="H15" s="115">
        <v>0.997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3.6766999999999999E-6</v>
      </c>
      <c r="F16" s="118">
        <v>0.43884000000000001</v>
      </c>
      <c r="G16" s="118">
        <v>0.43880999999999998</v>
      </c>
      <c r="H16" s="115">
        <v>1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3.6989000000000001E-8</v>
      </c>
      <c r="F17" s="118">
        <v>4.4149000000000002E-3</v>
      </c>
      <c r="G17" s="118">
        <v>4.4149000000000002E-3</v>
      </c>
      <c r="H17" s="115">
        <v>1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6.3075000000000004E-9</v>
      </c>
      <c r="F18" s="118">
        <v>7.5285E-4</v>
      </c>
      <c r="G18" s="118">
        <v>7.5285E-4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3.2544999999999999E-6</v>
      </c>
      <c r="F19" s="118">
        <v>0.38845000000000002</v>
      </c>
      <c r="G19" s="118">
        <v>0.38843</v>
      </c>
      <c r="H19" s="115">
        <v>1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1.5638E-7</v>
      </c>
      <c r="F20" s="118">
        <v>1.8665000000000001E-2</v>
      </c>
      <c r="G20" s="118">
        <v>1.8665000000000001E-2</v>
      </c>
      <c r="H20" s="115">
        <v>1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2.8557999999999999E-7</v>
      </c>
      <c r="F21" s="118">
        <v>3.4086999999999999E-2</v>
      </c>
      <c r="G21" s="118">
        <v>3.4086999999999999E-2</v>
      </c>
      <c r="H21" s="115">
        <v>1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1.9063E-8</v>
      </c>
      <c r="F22" s="118">
        <v>2.2753999999999999E-3</v>
      </c>
      <c r="G22" s="118">
        <v>2.2753999999999999E-3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3.7214999999999999E-6</v>
      </c>
      <c r="F23" s="118">
        <v>0.44418999999999997</v>
      </c>
      <c r="G23" s="118">
        <v>0.44416</v>
      </c>
      <c r="H23" s="115">
        <v>1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1.6938000000000001E-9</v>
      </c>
      <c r="F24" s="118">
        <v>2.0216E-4</v>
      </c>
      <c r="G24" s="118">
        <v>2.0216E-4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8.4440999999999993E-6</v>
      </c>
      <c r="F25" s="118">
        <v>1.0079</v>
      </c>
      <c r="G25" s="118">
        <v>0.99997999999999998</v>
      </c>
      <c r="H25" s="115">
        <v>1.008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1.1873999999999999E-8</v>
      </c>
      <c r="F26" s="118">
        <v>1.4172E-3</v>
      </c>
      <c r="G26" s="118">
        <v>1.4173E-3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7.4579999999999997E-9</v>
      </c>
      <c r="F27" s="118">
        <v>8.9017000000000002E-4</v>
      </c>
      <c r="G27" s="118">
        <v>8.9017000000000002E-4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1.9453999999999999E-9</v>
      </c>
      <c r="F28" s="118">
        <v>2.3220000000000001E-4</v>
      </c>
      <c r="G28" s="118">
        <v>2.3220000000000001E-4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2.7461E-10</v>
      </c>
      <c r="F29" s="118">
        <v>3.2777000000000001E-5</v>
      </c>
      <c r="G29" s="118">
        <v>3.2777000000000001E-5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3.4896000000000002E-7</v>
      </c>
      <c r="F30" s="118">
        <v>4.165E-2</v>
      </c>
      <c r="G30" s="118">
        <v>4.1651000000000001E-2</v>
      </c>
      <c r="H30" s="115">
        <v>1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8.4422000000000002E-6</v>
      </c>
      <c r="F31" s="118">
        <v>1.0076000000000001</v>
      </c>
      <c r="G31" s="118">
        <v>0.99992000000000003</v>
      </c>
      <c r="H31" s="115">
        <v>1.008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9.4185000000000003E-7</v>
      </c>
      <c r="F32" s="118">
        <v>0.11242000000000001</v>
      </c>
      <c r="G32" s="118">
        <v>0.11242000000000001</v>
      </c>
      <c r="H32" s="115">
        <v>1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2.0272999999999999E-7</v>
      </c>
      <c r="F33" s="118">
        <v>2.4197E-2</v>
      </c>
      <c r="G33" s="118">
        <v>2.4197E-2</v>
      </c>
      <c r="H33" s="115">
        <v>1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2.9700000000000001E-8</v>
      </c>
      <c r="F34" s="118">
        <v>3.5449000000000001E-3</v>
      </c>
      <c r="G34" s="118">
        <v>3.5449000000000001E-3</v>
      </c>
      <c r="H34" s="115">
        <v>1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4.9574999999999999E-9</v>
      </c>
      <c r="F35" s="118">
        <v>5.9172000000000001E-4</v>
      </c>
      <c r="G35" s="118">
        <v>5.9172000000000001E-4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1.6028E-7</v>
      </c>
      <c r="F36" s="118">
        <v>1.9130000000000001E-2</v>
      </c>
      <c r="G36" s="118">
        <v>1.9130000000000001E-2</v>
      </c>
      <c r="H36" s="115">
        <v>1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8.9741000000000001E-11</v>
      </c>
      <c r="F37" s="118">
        <v>1.0711E-5</v>
      </c>
      <c r="G37" s="118">
        <v>1.0711E-5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5.1928E-8</v>
      </c>
      <c r="F38" s="118">
        <v>6.1980000000000004E-3</v>
      </c>
      <c r="G38" s="118">
        <v>6.1980000000000004E-3</v>
      </c>
      <c r="H38" s="115">
        <v>1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7.1306000000000002E-14</v>
      </c>
      <c r="F39" s="118">
        <v>8.5109000000000005E-9</v>
      </c>
      <c r="G39" s="118">
        <v>8.5109999999999993E-9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6.7243000000000001E-6</v>
      </c>
      <c r="F40" s="118">
        <v>0.80259000000000003</v>
      </c>
      <c r="G40" s="118">
        <v>0.80198000000000003</v>
      </c>
      <c r="H40" s="115">
        <v>1.0009999999999999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2.1165999999999999E-9</v>
      </c>
      <c r="F41" s="118">
        <v>2.5263E-4</v>
      </c>
      <c r="G41" s="118">
        <v>2.5263E-4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5.0186999999999999E-6</v>
      </c>
      <c r="F42" s="118">
        <v>0.59901000000000004</v>
      </c>
      <c r="G42" s="118">
        <v>0.59887999999999997</v>
      </c>
      <c r="H42" s="115">
        <v>1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1.0672E-8</v>
      </c>
      <c r="F43" s="118">
        <v>1.2738000000000001E-3</v>
      </c>
      <c r="G43" s="118">
        <v>1.2738000000000001E-3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2.4005999999999999E-6</v>
      </c>
      <c r="F44" s="118">
        <v>0.28653000000000001</v>
      </c>
      <c r="G44" s="118">
        <v>0.28653000000000001</v>
      </c>
      <c r="H44" s="115">
        <v>1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6.8125999999999998E-6</v>
      </c>
      <c r="F45" s="118">
        <v>0.81313000000000002</v>
      </c>
      <c r="G45" s="118">
        <v>0.81247000000000003</v>
      </c>
      <c r="H45" s="115">
        <v>1.0009999999999999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4.0790000000000003E-8</v>
      </c>
      <c r="F46" s="118">
        <v>4.8685999999999998E-3</v>
      </c>
      <c r="G46" s="118">
        <v>4.8685999999999998E-3</v>
      </c>
      <c r="H46" s="115">
        <v>1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3.0921E-7</v>
      </c>
      <c r="F47" s="118">
        <v>3.6907000000000002E-2</v>
      </c>
      <c r="G47" s="118">
        <v>3.6907000000000002E-2</v>
      </c>
      <c r="H47" s="115">
        <v>1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8.4007999999999993E-6</v>
      </c>
      <c r="F48" s="118">
        <v>1.0026999999999999</v>
      </c>
      <c r="G48" s="118">
        <v>1</v>
      </c>
      <c r="H48" s="115">
        <v>1.0029999999999999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5.6770000000000001E-9</v>
      </c>
      <c r="F49" s="118">
        <v>6.7759000000000005E-4</v>
      </c>
      <c r="G49" s="118">
        <v>6.7759000000000005E-4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5.6962999999999999E-8</v>
      </c>
      <c r="F50" s="118">
        <v>6.7990000000000004E-3</v>
      </c>
      <c r="G50" s="118">
        <v>6.7990000000000004E-3</v>
      </c>
      <c r="H50" s="115">
        <v>1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4.6191000000000003E-9</v>
      </c>
      <c r="F51" s="118">
        <v>5.5132E-4</v>
      </c>
      <c r="G51" s="118">
        <v>5.5132E-4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5.1822999999999995E-7</v>
      </c>
      <c r="F52" s="118">
        <v>6.1853999999999999E-2</v>
      </c>
      <c r="G52" s="118">
        <v>6.1853999999999999E-2</v>
      </c>
      <c r="H52" s="115">
        <v>1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8.5295999999999998E-8</v>
      </c>
      <c r="F53" s="118">
        <v>1.0181000000000001E-2</v>
      </c>
      <c r="G53" s="118">
        <v>1.0181000000000001E-2</v>
      </c>
      <c r="H53" s="115">
        <v>1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1.9385999999999999E-7</v>
      </c>
      <c r="F54" s="118">
        <v>2.3139E-2</v>
      </c>
      <c r="G54" s="118">
        <v>2.3139E-2</v>
      </c>
      <c r="H54" s="115">
        <v>1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7.3916999999999999E-6</v>
      </c>
      <c r="F55" s="118">
        <v>0.88226000000000004</v>
      </c>
      <c r="G55" s="118">
        <v>0.88112000000000001</v>
      </c>
      <c r="H55" s="115">
        <v>1.0009999999999999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6.1622000000000001E-6</v>
      </c>
      <c r="F56" s="118">
        <v>0.73550000000000004</v>
      </c>
      <c r="G56" s="118">
        <v>0.73512999999999995</v>
      </c>
      <c r="H56" s="115">
        <v>1.0009999999999999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4.3997999999999999E-11</v>
      </c>
      <c r="F57" s="118">
        <v>5.2514000000000002E-6</v>
      </c>
      <c r="G57" s="118">
        <v>5.2514000000000002E-6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8.2529000000000007E-9</v>
      </c>
      <c r="F58" s="118">
        <v>9.8503999999999996E-4</v>
      </c>
      <c r="G58" s="118">
        <v>9.8503999999999996E-4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8.2799000000000001E-6</v>
      </c>
      <c r="F59" s="118">
        <v>0.98826999999999998</v>
      </c>
      <c r="G59" s="118">
        <v>0.98443000000000003</v>
      </c>
      <c r="H59" s="115">
        <v>1.004</v>
      </c>
    </row>
    <row r="60" spans="1:8" x14ac:dyDescent="0.2">
      <c r="A60" s="115" t="s">
        <v>628</v>
      </c>
      <c r="B60" s="118" t="s">
        <v>656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7.7961999999999994E-8</v>
      </c>
      <c r="F61" s="118">
        <v>9.3054000000000001E-3</v>
      </c>
      <c r="G61" s="118">
        <v>9.3054000000000001E-3</v>
      </c>
      <c r="H61" s="115">
        <v>1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x14ac:dyDescent="0.2">
      <c r="B101" s="118"/>
      <c r="D101" s="118"/>
      <c r="E101" s="118"/>
      <c r="F101" s="118"/>
      <c r="G101" s="118"/>
    </row>
    <row r="102" spans="2:7" x14ac:dyDescent="0.2">
      <c r="B102" s="118"/>
      <c r="D102" s="118"/>
      <c r="E102" s="118"/>
      <c r="F102" s="118"/>
      <c r="G102" s="118"/>
    </row>
    <row r="103" spans="2:7" x14ac:dyDescent="0.2">
      <c r="B103" s="118"/>
      <c r="D103" s="118"/>
      <c r="E103" s="118"/>
      <c r="F103" s="118"/>
      <c r="G103" s="118"/>
    </row>
    <row r="104" spans="2:7" x14ac:dyDescent="0.2">
      <c r="B104" s="118"/>
      <c r="D104" s="118"/>
      <c r="E104" s="118"/>
      <c r="F104" s="118"/>
      <c r="G104" s="118"/>
    </row>
    <row r="105" spans="2:7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/nmbCbOdh3tKJ9euWBnFws4a9EDTTF0W6c3mqL0Kgzl7nxn+daOQUXHDolTvYysa+FArqPk1o+rEv6uYmaBGgg==" saltValue="XWWOKhVYWMlCwlOtPrcTmw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0"/>
  <sheetViews>
    <sheetView tabSelected="1" zoomScaleNormal="100" workbookViewId="0">
      <pane xSplit="4" ySplit="11" topLeftCell="E12" activePane="bottomRight" state="frozenSplit"/>
      <selection activeCell="A10" sqref="A10"/>
      <selection pane="topRight" activeCell="C10" sqref="C10"/>
      <selection pane="bottomLeft" activeCell="A4" sqref="A4"/>
      <selection pane="bottomRight" activeCell="Q43" sqref="Q43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632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CleanBeam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633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2017-Dec-27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657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238">
        <v>8.3781899999999998E-6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7.6276399999999999E-7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8.3781899999999998E-6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658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9.1041621161611283E-2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40">
        <v>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COUNTA(C12:C18)</f>
        <v>6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ROWS(C12:C18)-1</f>
        <v>6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9" t="s">
        <v>147</v>
      </c>
      <c r="D12" s="155" t="s">
        <v>388</v>
      </c>
      <c r="E12" s="125">
        <v>1014.52</v>
      </c>
      <c r="F12" s="126">
        <f>1673/5.306</f>
        <v>315.30343007915565</v>
      </c>
      <c r="G12" s="166">
        <v>0.02</v>
      </c>
      <c r="H12" s="125">
        <v>1</v>
      </c>
      <c r="I12" s="125" t="s">
        <v>33</v>
      </c>
      <c r="J12" s="125">
        <v>39.880000000000003</v>
      </c>
      <c r="K12" s="195">
        <f t="shared" ref="K12:K14" ca="1" si="1">IF(($A12=0)*(H12=1)*((E12&lt;&gt;"")*(AK12&gt;3)+(AK12&lt; 4)),IF($O12="--",0,INDEX(RxnData,$AK12,27) * 10^(((LOG10(INDEX(MACdata,MATCH($E12,eMAC,1)+1,INDEX(RxnData,$AK12,28))) - LOG10(INDEX(MACdata,MATCH($E12,eMAC,1),INDEX(RxnData,$AK12,28)))) / (LOG10(INDEX(eMAC,MATCH($E12,eMAC,1)+1)) - LOG10(INDEX(eMAC,MATCH($E12,eMAC,1))))) * (LOG10($E12) - LOG10(INDEX(eMAC,MATCH($E12,eMAC,1)))) + LOG10(INDEX(MACdata,MATCH($E12,eMAC,1),INDEX(RxnData,$AK12,28))))),"")</f>
        <v>0.16475938926533495</v>
      </c>
      <c r="L12" s="23">
        <f t="shared" ref="L12:L17" ca="1" si="2">IF($A12=0,INDEX(RxnData,$AK12,16),"")</f>
        <v>26.9815386</v>
      </c>
      <c r="M12" s="24">
        <f t="shared" ref="M12:M17" ca="1" si="3">IF($A12=0,INDEX(RxnData,$AK12,18),"")</f>
        <v>1</v>
      </c>
      <c r="N12" s="21" t="str">
        <f t="shared" ref="N12:N17" ca="1" si="4">IF($A12=0,INDEX(RxnData,$AK12,10),"")</f>
        <v>12-Mg-27</v>
      </c>
      <c r="O12" s="25">
        <f t="shared" ref="O12:O17" ca="1" si="5">IF($A12=0,INDEX(RxnData,$AK12,21),"")</f>
        <v>567.48</v>
      </c>
      <c r="P12" s="110">
        <f ca="1">IF($A12=0,IF($A$3=1,VLOOKUP(N12,BCF_output!$A$10:$H$209,6,FALSE),IF($A$3=2,1,IF(O12="--",1,(LN(2)*$D$7*$D$8)/(O12/86400)))),"")</f>
        <v>1.0077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0.99170156163027345</v>
      </c>
      <c r="R12" s="197">
        <f t="shared" ref="R12:R17" ca="1" si="6">IF($A12=0,1,"")</f>
        <v>1</v>
      </c>
      <c r="S12" s="51">
        <f t="shared" ref="S12:S17" ca="1" si="7">IF($F12="","",($F12*$D$8*OFFSET($L12,$A12,0)) / ($Q12*OFFSET($P12,$A12,0)*OFFSET($M12,$A12,0)*OFFSET($R12,$A12,0)*N_A*$H12*IF($AK12&lt;4,$D$7*86400,1)))</f>
        <v>1.4136183507926474E-20</v>
      </c>
      <c r="T12" s="52">
        <f t="shared" ref="T12:T17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0.25</v>
      </c>
      <c r="U12" s="52">
        <f ca="1">IF($F12="",1,
IF((OFFSET($X12,$A12,0)="Yes")+($AK12=1)+($AK12=3),
NeutronBurnup($D$7*86400,IF(OFFSET($O12,$A12,0)="--","--",LN(2)*$D$8/OFFSET($O12,$A12,0)),(OFFSET($AK$19,ABS($A12),-1)/($D$7*86400))*1E-24*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7" ca="1" si="9">IF($F12="","",$S12 / IF($U12="",1,$U12))</f>
        <v>1.4136183507926474E-20</v>
      </c>
      <c r="X12" s="200" t="str">
        <f t="shared" ref="X12:X17" ca="1" si="10">IF($A12=0,INDEX(RxnData,$AK12,6),"")</f>
        <v>Yes</v>
      </c>
      <c r="Y12" s="201"/>
      <c r="Z12" s="201"/>
      <c r="AA12" s="53" t="e">
        <f t="shared" ref="AA12:AA17" ca="1" si="11">IF((OFFSET($X12,$A12,0)="No")+($F12="")+ISERROR($V12),"",$V12*($D$7*86400)*(1E+24/OFFSET($Y12,$A12,0)))</f>
        <v>#DIV/0!</v>
      </c>
      <c r="AB12" s="53" t="e">
        <f t="shared" ref="AB12:AB17" ca="1" si="12">IF((OFFSET($X12,$A12,0)="No")+($F12="")+ISERROR($V12),"",$V12*($D$7*86400)*(1E+24/OFFSET($Z12,$A12,0)))</f>
        <v>#DIV/0!</v>
      </c>
      <c r="AC12" s="202" t="str">
        <f t="shared" ref="AC12:AC17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1">
        <v>1</v>
      </c>
      <c r="AJ12" s="96">
        <f t="shared" ref="AJ12:AJ17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9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218/5.306</f>
        <v>41.085563513004146</v>
      </c>
      <c r="G13" s="166">
        <v>1.03E-2</v>
      </c>
      <c r="H13" s="125">
        <v>1</v>
      </c>
      <c r="I13" s="125" t="s">
        <v>33</v>
      </c>
      <c r="J13" s="125">
        <v>39.880000000000003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9.6337000000000006E-2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0.99285953440189223</v>
      </c>
      <c r="R13" s="197">
        <f t="shared" ca="1" si="6"/>
        <v>1</v>
      </c>
      <c r="S13" s="51">
        <f t="shared" ca="1" si="7"/>
        <v>1.924527202085174E-20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NeutronBurnup($D$7*86400,IF(OFFSET($O13,$A13,0)="--","--",LN(2)*$D$8/OFFSET($O13,$A13,0)),(OFFSET($AK$19,ABS($A13),-1)/($D$7*86400))*1E-24*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1.924527202085174E-20</v>
      </c>
      <c r="X13" s="200" t="str">
        <f t="shared" ca="1" si="10"/>
        <v>Yes</v>
      </c>
      <c r="Y13" s="201"/>
      <c r="Z13" s="201"/>
      <c r="AA13" s="53" t="e">
        <f t="shared" ca="1" si="11"/>
        <v>#DIV/0!</v>
      </c>
      <c r="AB13" s="53" t="e">
        <f t="shared" ca="1" si="12"/>
        <v>#DIV/0!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9" t="s">
        <v>228</v>
      </c>
      <c r="D14" s="142" t="str">
        <f t="shared" ca="1" si="20"/>
        <v>a</v>
      </c>
      <c r="E14" s="125">
        <v>1377.63</v>
      </c>
      <c r="F14" s="126">
        <f>17.7/16.934</f>
        <v>1.0452344395889925</v>
      </c>
      <c r="G14" s="166">
        <v>1.52E-2</v>
      </c>
      <c r="H14" s="125">
        <v>1</v>
      </c>
      <c r="I14" s="125" t="s">
        <v>33</v>
      </c>
      <c r="J14" s="125">
        <v>39.369999999999997</v>
      </c>
      <c r="K14" s="195">
        <f t="shared" ca="1" si="1"/>
        <v>0.4657500652846458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4.165E-2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0.97706990967412832</v>
      </c>
      <c r="R14" s="197">
        <f t="shared" ca="1" si="6"/>
        <v>1</v>
      </c>
      <c r="S14" s="51">
        <f t="shared" ca="1" si="7"/>
        <v>3.6771520367132593E-21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NeutronBurnup($D$7*86400,IF(OFFSET($O14,$A14,0)="--","--",LN(2)*$D$8/OFFSET($O14,$A14,0)),(OFFSET($AK$19,ABS($A14),-1)/($D$7*86400))*1E-24*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1</v>
      </c>
      <c r="V14" s="51">
        <f t="shared" ca="1" si="9"/>
        <v>3.6771520367132593E-21</v>
      </c>
      <c r="X14" s="200" t="str">
        <f t="shared" ca="1" si="10"/>
        <v>Yes</v>
      </c>
      <c r="Y14" s="201"/>
      <c r="Z14" s="201"/>
      <c r="AA14" s="53" t="e">
        <f t="shared" ca="1" si="11"/>
        <v>#DIV/0!</v>
      </c>
      <c r="AB14" s="53" t="e">
        <f t="shared" ca="1" si="12"/>
        <v>#DIV/0!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9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1695.7/14.326</f>
        <v>118.36521010749686</v>
      </c>
      <c r="G15" s="166">
        <v>5.4000000000000003E-3</v>
      </c>
      <c r="H15" s="125">
        <v>1</v>
      </c>
      <c r="I15" s="125" t="s">
        <v>33</v>
      </c>
      <c r="J15" s="125">
        <v>40.200000000000003</v>
      </c>
      <c r="K15" s="195">
        <f t="shared" ref="K15" ca="1" si="23">IF(($A15=0)*(H15=1)*((E15&lt;&gt;"")*(AK15&gt;3)+(AK15&lt; 4)),IF($O15="--",0,INDEX(RxnData,$AK15,27) * 10^(((LOG10(INDEX(MACdata,MATCH($E15,eMAC,1)+1,INDEX(RxnData,$AK15,28))) - LOG10(INDEX(MACdata,MATCH($E15,eMAC,1),INDEX(RxnData,$AK15,28)))) / (LOG10(INDEX(eMAC,MATCH($E15,eMAC,1)+1)) - LOG10(INDEX(eMAC,MATCH($E15,eMAC,1))))) * (LOG10($E15) - LOG10(INDEX(eMAC,MATCH($E15,eMAC,1)))) + 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0.28653000000000001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0.9491564955090418</v>
      </c>
      <c r="R15" s="197">
        <f t="shared" ca="1" si="6"/>
        <v>1</v>
      </c>
      <c r="S15" s="51">
        <f t="shared" ca="1" si="7"/>
        <v>8.6699747804396978E-20</v>
      </c>
      <c r="T15" s="52">
        <f t="shared" ca="1" si="8"/>
        <v>0.74535367545076281</v>
      </c>
      <c r="U15" s="52">
        <f ca="1">IF($F15="",1,
IF((OFFSET($X15,$A15,0)="Yes")+($AK15=1)+($AK15=3),
NeutronBurnup($D$7*86400,IF(OFFSET($O15,$A15,0)="--","--",LN(2)*$D$8/OFFSET($O15,$A15,0)),(OFFSET($AK$19,ABS($A15),-1)/($D$7*86400))*1E-24*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0.99999999999999878</v>
      </c>
      <c r="V15" s="51">
        <f t="shared" ca="1" si="9"/>
        <v>8.6699747804397087E-20</v>
      </c>
      <c r="X15" s="200" t="str">
        <f t="shared" ca="1" si="10"/>
        <v>Yes</v>
      </c>
      <c r="Y15" s="201"/>
      <c r="Z15" s="201"/>
      <c r="AA15" s="53" t="e">
        <f t="shared" ca="1" si="11"/>
        <v>#DIV/0!</v>
      </c>
      <c r="AB15" s="53" t="e">
        <f t="shared" ca="1" si="12"/>
        <v>#DIV/0!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9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30.978/3.298</f>
        <v>9.3929654335961192</v>
      </c>
      <c r="G16" s="166">
        <v>1.24E-2</v>
      </c>
      <c r="H16" s="125">
        <v>1</v>
      </c>
      <c r="I16" s="125" t="s">
        <v>33</v>
      </c>
      <c r="J16" s="125">
        <v>3.7</v>
      </c>
      <c r="K16" s="195">
        <f t="shared" ref="K16" ca="1" si="27">IF(($A16=0)*(H16=1)*((E16&lt;&gt;"")*(AK16&gt;3)+(AK16&lt; 4)),IF($O16="--",0,INDEX(RxnData,$AK16,27) * 10^(((LOG10(INDEX(MACdata,MATCH($E16,eMAC,1)+1,INDEX(RxnData,$AK16,28))) - LOG10(INDEX(MACdata,MATCH($E16,eMAC,1),INDEX(RxnData,$AK16,28)))) / (LOG10(INDEX(eMAC,MATCH($E16,eMAC,1)+1)) - LOG10(INDEX(eMAC,MATCH($E16,eMAC,1))))) * (LOG10($E16) - LOG10(INDEX(eMAC,MATCH($E16,eMAC,1)))) + 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1.0181000000000001E-2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0.97574820401760465</v>
      </c>
      <c r="R16" s="197">
        <f t="shared" ca="1" si="6"/>
        <v>1</v>
      </c>
      <c r="S16" s="51">
        <f t="shared" ca="1" si="7"/>
        <v>3.0925452956797966E-19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NeutronBurnup($D$7*86400,IF(OFFSET($O16,$A16,0)="--","--",LN(2)*$D$8/OFFSET($O16,$A16,0)),(OFFSET($AK$19,ABS($A16),-1)/($D$7*86400))*1E-24*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1</v>
      </c>
      <c r="V16" s="51">
        <f t="shared" ca="1" si="9"/>
        <v>3.0925452956797966E-19</v>
      </c>
      <c r="X16" s="200" t="str">
        <f t="shared" ca="1" si="10"/>
        <v>Yes</v>
      </c>
      <c r="Y16" s="201"/>
      <c r="Z16" s="201"/>
      <c r="AA16" s="53" t="e">
        <f t="shared" ca="1" si="11"/>
        <v>#DIV/0!</v>
      </c>
      <c r="AB16" s="53" t="e">
        <f t="shared" ca="1" si="12"/>
        <v>#DIV/0!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9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19.411/3.298</f>
        <v>5.8856882959369319</v>
      </c>
      <c r="G17" s="166">
        <v>1.67E-2</v>
      </c>
      <c r="H17" s="125">
        <v>1</v>
      </c>
      <c r="I17" s="125" t="s">
        <v>33</v>
      </c>
      <c r="J17" s="125">
        <v>3.71</v>
      </c>
      <c r="K17" s="195">
        <f t="shared" ref="K17" ca="1" si="31">IF(($A17=0)*(H17=1)*((E17&lt;&gt;"")*(AK17&gt;3)+(AK17&lt; 4)),IF($O17="--",0,INDEX(RxnData,$AK17,27) * 10^(((LOG10(INDEX(MACdata,MATCH($E17,eMAC,1)+1,INDEX(RxnData,$AK17,28))) - LOG10(INDEX(MACdata,MATCH($E17,eMAC,1),INDEX(RxnData,$AK17,28)))) / (LOG10(INDEX(eMAC,MATCH($E17,eMAC,1)+1)) - LOG10(INDEX(eMAC,MATCH($E17,eMAC,1))))) * (LOG10($E17) - LOG10(INDEX(eMAC,MATCH($E17,eMAC,1)))) + 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2.3139E-2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0.98130636105807867</v>
      </c>
      <c r="R17" s="197">
        <f t="shared" ca="1" si="6"/>
        <v>1</v>
      </c>
      <c r="S17" s="51">
        <f t="shared" ca="1" si="7"/>
        <v>8.4779256078149639E-20</v>
      </c>
      <c r="T17" s="52">
        <f t="shared" ca="1" si="8"/>
        <v>40.334809243646511</v>
      </c>
      <c r="U17" s="52">
        <f ca="1">IF($F17="",1,
IF((OFFSET($X17,$A17,0)="Yes")+($AK17=1)+($AK17=3),
NeutronBurnup($D$7*86400,IF(OFFSET($O17,$A17,0)="--","--",LN(2)*$D$8/OFFSET($O17,$A17,0)),(OFFSET($AK$19,ABS($A17),-1)/($D$7*86400))*1E-24*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0.9999999999999879</v>
      </c>
      <c r="V17" s="51">
        <f t="shared" ca="1" si="9"/>
        <v>8.4779256078150662E-20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16.704154002026343</v>
      </c>
      <c r="AE17" s="112">
        <f ca="1">IF((OFFSET($X17,$A17,0)="Yes")+($F17="")+ISERROR($V17),"",IF(($U17&lt;=0.1)*(AK17&gt;3),"",$V17*($D$7*86400)*(1E+24/OFFSET($AC17,$A17,0))))</f>
        <v>6756568.3382927179</v>
      </c>
      <c r="AF17" s="112">
        <f ca="1">IF((OFFSET($X17,$A17,0)="Yes")+($F17="")+ISERROR($V17),"",IF(($U17&lt;=0.1)*(AK17&gt;3),"",$AE17/$AD17))</f>
        <v>404484.31794109981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ht="6.95" customHeight="1" x14ac:dyDescent="0.2">
      <c r="A18" s="29" t="s">
        <v>27</v>
      </c>
      <c r="B18" s="30"/>
      <c r="C18" s="42"/>
      <c r="D18" s="41"/>
      <c r="E18" s="32"/>
      <c r="F18" s="192" t="s">
        <v>568</v>
      </c>
      <c r="G18" s="167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41"/>
      <c r="S18" s="32"/>
      <c r="T18" s="32"/>
      <c r="U18" s="32"/>
      <c r="V18" s="32"/>
      <c r="W18" s="20"/>
      <c r="X18" s="150"/>
      <c r="Y18" s="32"/>
      <c r="Z18" s="32"/>
      <c r="AA18" s="32"/>
      <c r="AB18" s="32"/>
      <c r="AC18" s="32"/>
      <c r="AD18" s="32"/>
      <c r="AE18" s="32"/>
      <c r="AF18" s="32"/>
      <c r="AG18" s="41"/>
      <c r="AH18" s="32"/>
      <c r="AI18" s="198" t="s">
        <v>377</v>
      </c>
      <c r="AJ18" s="199">
        <f t="array" aca="1" ref="AJ18" ca="1">SUM(IF(($X$12:$X$18="No")*($AK$12:$AK$18&gt;3),1,0))</f>
        <v>1</v>
      </c>
      <c r="AK18" s="108"/>
      <c r="AL18" s="108"/>
      <c r="AM18" s="108"/>
    </row>
    <row r="19" spans="1:39" x14ac:dyDescent="0.2">
      <c r="C19" s="54" t="s">
        <v>24</v>
      </c>
      <c r="D19" s="142" t="str">
        <f ca="1">IF(ROW()-ROW($C$18)&gt;$A$10/$A$9,"",IF(OFFSET($D$11,ROW()-ROW($C$18),0)="","",OFFSET($D$11,ROW()-ROW($C$18),0)))</f>
        <v>a</v>
      </c>
      <c r="E19" s="31"/>
      <c r="F19" s="31"/>
      <c r="G19" s="31"/>
      <c r="H19" s="31"/>
      <c r="I19" s="31"/>
      <c r="J19" s="31"/>
      <c r="K19" s="31"/>
      <c r="L19" s="31"/>
      <c r="M19" s="31"/>
      <c r="N19" s="33"/>
      <c r="O19" s="31"/>
      <c r="P19" s="31"/>
      <c r="Q19" s="31"/>
      <c r="R19" s="31"/>
      <c r="S19" s="31"/>
      <c r="T19" s="31"/>
      <c r="U19" s="31"/>
      <c r="V19" s="31"/>
      <c r="W19" s="20"/>
      <c r="X19" s="151"/>
      <c r="Y19" s="47"/>
      <c r="Z19" s="48" t="s">
        <v>25</v>
      </c>
      <c r="AA19" s="49" t="e">
        <f t="array" aca="1" ref="AA19" ca="1">IF(SUM(IF((AA$12:AA$18&lt;&gt;"")*($D$12:$D$18=$D19),1,0))&gt;0,IF($AJ$20&lt;1,"N/A",TEXT(AVERAGE(IF($D$12:$D$18=$D19,AA$12:AA$18,"")),"0.00E+00")) &amp; "  (" &amp; IF(($AJ$20&lt;2)+(SUM(IF(($D$12:$D$18=$D19)*(AA$12:AA$18&lt;&gt;""),1,0))&lt;2),"N/A)",TEXT(100*STDEV(IF($D$12:$D$18=$D19,AA$12:AA$18,""))/AVERAGE(IF($D$12:$D$18=$D19,AA$12:AA$18,"")),"0.00") &amp; "%)"),"")</f>
        <v>#DIV/0!</v>
      </c>
      <c r="AB19" s="49" t="e">
        <f t="array" aca="1" ref="AB19" ca="1">IF(SUM(IF((AB$12:AB$18&lt;&gt;"")*($D$12:$D$18=$D19),1,0))&gt;0,IF($AJ$20&lt;1,"N/A",TEXT(AVERAGE(IF($D$12:$D$18=$D19,AB$12:AB$18,"")),"0.00E+00")) &amp; "  (" &amp; IF(($AJ$20&lt;2)+(SUM(IF(($D$12:$D$18=$D19)*(AB$12:AB$18&lt;&gt;""),1,0))&lt;2),"N/A)",TEXT(100*STDEV(IF($D$12:$D$18=$D19,AB$12:AB$18,""))/AVERAGE(IF($D$12:$D$18=$D19,AB$12:AB$18,"")),"0.00") &amp; "%)"),"")</f>
        <v>#DIV/0!</v>
      </c>
      <c r="AC19" s="31"/>
      <c r="AD19" s="47"/>
      <c r="AE19" s="48" t="s">
        <v>25</v>
      </c>
      <c r="AF19" s="49" t="str">
        <f t="array" aca="1" ref="AF19" ca="1">IF(SUM(IF((AF$12:AF$18&lt;&gt;"")*($D$12:$D$18=$D19),1,0))&gt;0,IF($AI$20&lt;1,"N/A",TEXT(AVERAGE(IF($D$12:$D$18=$D19,AF$12:AF$18,"")),"0.00E+00")) &amp; "  (" &amp; IF(($AI$20&lt;2)+(SUM(IF(($D$12:$D$18=$D19)*(AF$12:AF$18&lt;&gt;""),1,0))&lt;2),"N/A)",TEXT(100*STDEV(IF($D$12:$D$18=$D19,AF$12:AF$18,""))/AVERAGE(IF($D$12:$D$18=$D19,AF$12:AF$18,"")),"0.00") &amp; "%)"),"")</f>
        <v>4.04E+05  (N/A)</v>
      </c>
      <c r="AG19" s="149" t="str">
        <f ca="1">IF(D19="","",D19)</f>
        <v>a</v>
      </c>
      <c r="AH19" s="44" t="str">
        <f>IF(C19="","",C19)</f>
        <v>Overall</v>
      </c>
      <c r="AI19" s="95" t="str">
        <f t="array" aca="1" ref="AI19" ca="1">IF($D19="","",IF(($AI$20&lt;2)+(SUM(IF(($D$12:$D$18=$D19)*(AF$12:AF$18&lt;&gt;""),1,0))&lt;2),"N/A",100*STDEV(IF($D$12:$D$18=$D19,AF$12:AF$18,""))/AVERAGE(IF($D$12:$D$18=$D19,AF$12:AF$18,""))))</f>
        <v>N/A</v>
      </c>
      <c r="AJ19" s="96">
        <f ca="1">AvgThemalFluence(D19)</f>
        <v>404484.31794109981</v>
      </c>
      <c r="AK19" s="108"/>
      <c r="AL19" s="108"/>
      <c r="AM19" s="108"/>
    </row>
    <row r="20" spans="1:39" ht="6.95" customHeight="1" x14ac:dyDescent="0.2">
      <c r="A20" s="29" t="s">
        <v>27</v>
      </c>
      <c r="B20" s="30"/>
      <c r="C20" s="122"/>
      <c r="D20" s="123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20"/>
      <c r="X20" s="150"/>
      <c r="Y20" s="32"/>
      <c r="Z20" s="32"/>
      <c r="AA20" s="32"/>
      <c r="AB20" s="32"/>
      <c r="AC20" s="32"/>
      <c r="AD20" s="32"/>
      <c r="AE20" s="32"/>
      <c r="AF20" s="32"/>
      <c r="AG20" s="41"/>
      <c r="AH20" s="32"/>
      <c r="AI20" s="140">
        <f t="array" aca="1" ref="AI20" ca="1">SUM(IF($X$12:$X$18="No",1,0))</f>
        <v>1</v>
      </c>
      <c r="AJ20" s="140">
        <f t="array" aca="1" ref="AJ20" ca="1">SUM(IF($X$12:$X$18="Yes",1,0))</f>
        <v>5</v>
      </c>
      <c r="AK20" s="108"/>
      <c r="AL20" s="108"/>
      <c r="AM20" s="108"/>
    </row>
    <row r="21" spans="1:39" x14ac:dyDescent="0.2"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95">
        <f ca="1">SUM(AI19:AI20) - AI20</f>
        <v>0</v>
      </c>
      <c r="AJ21" s="108"/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</sheetData>
  <sheetProtection algorithmName="SHA-512" hashValue="5/Osu73eI4nSI/4pdmSxVJkyJXO9toY677ebLDHipkb7zSE8VpfywhbWSv7FLoS+8AOGYzWaiL0aUV9098rPkw==" saltValue="Z1Hkv//lWHR2yEGe8+dteQ==" spinCount="100000" sheet="1" objects="1" scenarios="1" formatCells="0" formatColumns="0" formatRows="0"/>
  <dataConsolidate/>
  <conditionalFormatting sqref="AD12:AF14">
    <cfRule type="expression" dxfId="117" priority="212" stopIfTrue="1">
      <formula>IF(OFFSET($X12,$A12,0)="Yes",TRUE,FALSE)*IF((LEN($C12)&gt;0),TRUE,FALSE)</formula>
    </cfRule>
    <cfRule type="expression" dxfId="116" priority="213" stopIfTrue="1">
      <formula>IF(OFFSET($X12,$A12,0)="Yes",TRUE,FALSE)</formula>
    </cfRule>
    <cfRule type="expression" dxfId="115" priority="215" stopIfTrue="1">
      <formula>IF((LEN($C12)&gt;0),TRUE,FALSE)</formula>
    </cfRule>
  </conditionalFormatting>
  <conditionalFormatting sqref="AJ12:AK14">
    <cfRule type="expression" dxfId="114" priority="265" stopIfTrue="1">
      <formula>IF((LEN($C12)&gt;0),TRUE,FALSE)</formula>
    </cfRule>
  </conditionalFormatting>
  <conditionalFormatting sqref="C5:C6">
    <cfRule type="expression" dxfId="113" priority="168" stopIfTrue="1">
      <formula>$A$3&gt;1</formula>
    </cfRule>
  </conditionalFormatting>
  <conditionalFormatting sqref="C7:C8">
    <cfRule type="expression" dxfId="112" priority="169" stopIfTrue="1">
      <formula>$A$3&gt;1</formula>
    </cfRule>
  </conditionalFormatting>
  <conditionalFormatting sqref="AA7:AD7">
    <cfRule type="expression" dxfId="111" priority="175" stopIfTrue="1">
      <formula>NOT($A$6)</formula>
    </cfRule>
  </conditionalFormatting>
  <conditionalFormatting sqref="AI12:AI14">
    <cfRule type="expression" dxfId="110" priority="222" stopIfTrue="1">
      <formula>NOT($A$6)*(ROW()&lt;ROW(hEpiThermInd)+$A$10/$A$9+1)</formula>
    </cfRule>
    <cfRule type="expression" dxfId="109" priority="223" stopIfTrue="1">
      <formula>IF((LEN($C12)&gt;0),TRUE,FALSE)</formula>
    </cfRule>
  </conditionalFormatting>
  <conditionalFormatting sqref="T7:T8">
    <cfRule type="expression" dxfId="108" priority="174" stopIfTrue="1">
      <formula>IF(A6*(ETRatio=0)+(NOT(A6))*(SUM(IF(OFFSET($AI$11,1,0,$A$10/$A$9,1)=0,1,0))&gt;0),TRUE,FALSE)</formula>
    </cfRule>
  </conditionalFormatting>
  <conditionalFormatting sqref="AA12:AB14">
    <cfRule type="expression" dxfId="107" priority="203" stopIfTrue="1">
      <formula>IF(OFFSET($X12,$A12,0)="No",TRUE,FALSE)*IF((LEN($C12)&gt;0),TRUE,FALSE)</formula>
    </cfRule>
    <cfRule type="expression" dxfId="106" priority="204" stopIfTrue="1">
      <formula>IF(OFFSET($X12,$A12,0)="No",TRUE,FALSE)</formula>
    </cfRule>
    <cfRule type="expression" dxfId="105" priority="206" stopIfTrue="1">
      <formula>IF((LEN($C12)&gt;0),TRUE,FALSE)</formula>
    </cfRule>
  </conditionalFormatting>
  <conditionalFormatting sqref="U12:U14">
    <cfRule type="expression" dxfId="104" priority="186" stopIfTrue="1">
      <formula>IF((LEN($C12)&gt;0),TRUE,FALSE)*IF($U12&lt;=0.1,TRUE,FALSE)</formula>
    </cfRule>
    <cfRule type="cellIs" dxfId="103" priority="187" stopIfTrue="1" operator="lessThanOrEqual">
      <formula>0.1</formula>
    </cfRule>
    <cfRule type="expression" dxfId="102" priority="195" stopIfTrue="1">
      <formula>IF((LEN($C12)&gt;0),TRUE,FALSE)</formula>
    </cfRule>
  </conditionalFormatting>
  <conditionalFormatting sqref="D8">
    <cfRule type="expression" dxfId="101" priority="171" stopIfTrue="1">
      <formula>AND($D$8&lt;1,$D$8&lt;&gt;"")</formula>
    </cfRule>
    <cfRule type="expression" dxfId="100" priority="173" stopIfTrue="1">
      <formula>$A$3&gt;1</formula>
    </cfRule>
  </conditionalFormatting>
  <conditionalFormatting sqref="C4">
    <cfRule type="expression" dxfId="99" priority="166" stopIfTrue="1">
      <formula>$A$3&gt;1</formula>
    </cfRule>
  </conditionalFormatting>
  <conditionalFormatting sqref="E4">
    <cfRule type="expression" dxfId="98" priority="170" stopIfTrue="1">
      <formula>$A$3&gt;1</formula>
    </cfRule>
  </conditionalFormatting>
  <conditionalFormatting sqref="K12:K14">
    <cfRule type="expression" dxfId="97" priority="183" stopIfTrue="1">
      <formula>IF(LEN($C12)=0,TRUE,FALSE)</formula>
    </cfRule>
    <cfRule type="expression" dxfId="96" priority="184" stopIfTrue="1">
      <formula>IF($H12=1,FALSE,IF((LEN($C12)&gt;0)*($H12&lt;&gt;""),TRUE,FALSE))</formula>
    </cfRule>
    <cfRule type="expression" dxfId="95" priority="185" stopIfTrue="1">
      <formula>IF((LEN($C12)&gt;0),TRUE,FALSE)</formula>
    </cfRule>
  </conditionalFormatting>
  <conditionalFormatting sqref="F12:F14">
    <cfRule type="expression" dxfId="94" priority="180" stopIfTrue="1">
      <formula>IF((LEN($C12)&gt;0),TRUE,FALSE)*IF((OFFSET($C12,$A12,0)="LI6(N,A)T")+(OFFSET($C12,$A12,0)="B10(N,A)LI7"),TRUE,FALSE)</formula>
    </cfRule>
    <cfRule type="expression" dxfId="93" priority="181" stopIfTrue="1">
      <formula>IF((OFFSET($C12,$A12,0)="LI6(N,A)T")+(OFFSET($C12,$A12,0)="B10(N,A)LI7"),TRUE,FALSE)</formula>
    </cfRule>
    <cfRule type="expression" dxfId="92" priority="182" stopIfTrue="1">
      <formula>IF((LEN($C12)&gt;0),TRUE,FALSE)</formula>
    </cfRule>
  </conditionalFormatting>
  <conditionalFormatting sqref="AA8:AD8">
    <cfRule type="expression" dxfId="91" priority="176" stopIfTrue="1">
      <formula>$AJ$18&gt;0</formula>
    </cfRule>
  </conditionalFormatting>
  <conditionalFormatting sqref="D7">
    <cfRule type="expression" dxfId="90" priority="172" stopIfTrue="1">
      <formula>$A$3&gt;1</formula>
    </cfRule>
  </conditionalFormatting>
  <conditionalFormatting sqref="C12:D14 G12:J12 S12:T14 V12:V14 Q12:Q14 AG12:AH14 G13:H14 J13:J14 I13:I17">
    <cfRule type="expression" dxfId="89" priority="177" stopIfTrue="1">
      <formula>IF((LEN($C12)&gt;0),TRUE,FALSE)</formula>
    </cfRule>
  </conditionalFormatting>
  <conditionalFormatting sqref="AC12:AC14">
    <cfRule type="expression" dxfId="88" priority="208" stopIfTrue="1">
      <formula>IF(OFFSET($X12,$A12,0)="Yes",TRUE,FALSE)*IF((LEN($C12)&gt;0),TRUE,FALSE)</formula>
    </cfRule>
    <cfRule type="expression" dxfId="87" priority="209" stopIfTrue="1">
      <formula>IF(OFFSET($X12,$A12,0)="Yes",TRUE,FALSE)+IF(LEN($C12)=0,TRUE,FALSE)</formula>
    </cfRule>
    <cfRule type="expression" dxfId="86" priority="210" stopIfTrue="1">
      <formula>IF((LEN($C12)&gt;0),TRUE,FALSE)</formula>
    </cfRule>
  </conditionalFormatting>
  <conditionalFormatting sqref="Y12:Z14">
    <cfRule type="expression" dxfId="85" priority="196" stopIfTrue="1">
      <formula>IF(OFFSET($X12,$A12,0)="No",TRUE,FALSE)*IF((LEN($C12)&gt;0),TRUE,FALSE)</formula>
    </cfRule>
    <cfRule type="expression" dxfId="84" priority="201" stopIfTrue="1">
      <formula>IF(OFFSET($X12,$A12,0)="No",TRUE,FALSE)+IF(LEN($C12)=0,TRUE,FALSE)</formula>
    </cfRule>
    <cfRule type="expression" dxfId="83" priority="202" stopIfTrue="1">
      <formula>IF((LEN($C12)&gt;0),TRUE,FALSE)</formula>
    </cfRule>
  </conditionalFormatting>
  <conditionalFormatting sqref="E12:E14 L12:P14 R12:R14 X12:X14">
    <cfRule type="expression" dxfId="82" priority="178" stopIfTrue="1">
      <formula>IF(LEN($C12)=0,TRUE,FALSE)</formula>
    </cfRule>
    <cfRule type="expression" dxfId="81" priority="179" stopIfTrue="1">
      <formula>IF((LEN($C12)&gt;0),TRUE,FALSE)</formula>
    </cfRule>
  </conditionalFormatting>
  <conditionalFormatting sqref="AD15:AF15">
    <cfRule type="expression" dxfId="80" priority="160" stopIfTrue="1">
      <formula>IF(OFFSET($X15,$A15,0)="Yes",TRUE,FALSE)*IF((LEN($C15)&gt;0),TRUE,FALSE)</formula>
    </cfRule>
    <cfRule type="expression" dxfId="79" priority="161" stopIfTrue="1">
      <formula>IF(OFFSET($X15,$A15,0)="Yes",TRUE,FALSE)</formula>
    </cfRule>
    <cfRule type="expression" dxfId="78" priority="162" stopIfTrue="1">
      <formula>IF((LEN($C15)&gt;0),TRUE,FALSE)</formula>
    </cfRule>
  </conditionalFormatting>
  <conditionalFormatting sqref="AJ15:AK15">
    <cfRule type="expression" dxfId="77" priority="165" stopIfTrue="1">
      <formula>IF((LEN($C15)&gt;0),TRUE,FALSE)</formula>
    </cfRule>
  </conditionalFormatting>
  <conditionalFormatting sqref="AI15">
    <cfRule type="expression" dxfId="76" priority="163" stopIfTrue="1">
      <formula>NOT($A$6)*(ROW()&lt;ROW(hEpiThermInd)+$A$10/$A$9+1)</formula>
    </cfRule>
    <cfRule type="expression" dxfId="75" priority="164" stopIfTrue="1">
      <formula>IF((LEN($C15)&gt;0),TRUE,FALSE)</formula>
    </cfRule>
  </conditionalFormatting>
  <conditionalFormatting sqref="AA15:AB15">
    <cfRule type="expression" dxfId="74" priority="154" stopIfTrue="1">
      <formula>IF(OFFSET($X15,$A15,0)="No",TRUE,FALSE)*IF((LEN($C15)&gt;0),TRUE,FALSE)</formula>
    </cfRule>
    <cfRule type="expression" dxfId="73" priority="155" stopIfTrue="1">
      <formula>IF(OFFSET($X15,$A15,0)="No",TRUE,FALSE)</formula>
    </cfRule>
    <cfRule type="expression" dxfId="72" priority="156" stopIfTrue="1">
      <formula>IF((LEN($C15)&gt;0),TRUE,FALSE)</formula>
    </cfRule>
  </conditionalFormatting>
  <conditionalFormatting sqref="U15">
    <cfRule type="expression" dxfId="71" priority="148" stopIfTrue="1">
      <formula>IF((LEN($C15)&gt;0),TRUE,FALSE)*IF($U15&lt;=0.1,TRUE,FALSE)</formula>
    </cfRule>
    <cfRule type="cellIs" dxfId="70" priority="149" stopIfTrue="1" operator="lessThanOrEqual">
      <formula>0.1</formula>
    </cfRule>
    <cfRule type="expression" dxfId="69" priority="150" stopIfTrue="1">
      <formula>IF((LEN($C15)&gt;0),TRUE,FALSE)</formula>
    </cfRule>
  </conditionalFormatting>
  <conditionalFormatting sqref="K15">
    <cfRule type="expression" dxfId="68" priority="145" stopIfTrue="1">
      <formula>IF(LEN($C15)=0,TRUE,FALSE)</formula>
    </cfRule>
    <cfRule type="expression" dxfId="67" priority="146" stopIfTrue="1">
      <formula>IF($H15=1,FALSE,IF((LEN($C15)&gt;0)*($H15&lt;&gt;""),TRUE,FALSE))</formula>
    </cfRule>
    <cfRule type="expression" dxfId="66" priority="147" stopIfTrue="1">
      <formula>IF((LEN($C15)&gt;0),TRUE,FALSE)</formula>
    </cfRule>
  </conditionalFormatting>
  <conditionalFormatting sqref="F15">
    <cfRule type="expression" dxfId="65" priority="142" stopIfTrue="1">
      <formula>IF((LEN($C15)&gt;0),TRUE,FALSE)*IF((OFFSET($C15,$A15,0)="LI6(N,A)T")+(OFFSET($C15,$A15,0)="B10(N,A)LI7"),TRUE,FALSE)</formula>
    </cfRule>
    <cfRule type="expression" dxfId="64" priority="143" stopIfTrue="1">
      <formula>IF((OFFSET($C15,$A15,0)="LI6(N,A)T")+(OFFSET($C15,$A15,0)="B10(N,A)LI7"),TRUE,FALSE)</formula>
    </cfRule>
    <cfRule type="expression" dxfId="63" priority="144" stopIfTrue="1">
      <formula>IF((LEN($C15)&gt;0),TRUE,FALSE)</formula>
    </cfRule>
  </conditionalFormatting>
  <conditionalFormatting sqref="C15:D15 G15:H15 S15:T15 V15 Q15 AG15:AH15 J15">
    <cfRule type="expression" dxfId="62" priority="139" stopIfTrue="1">
      <formula>IF((LEN($C15)&gt;0),TRUE,FALSE)</formula>
    </cfRule>
  </conditionalFormatting>
  <conditionalFormatting sqref="AC15">
    <cfRule type="expression" dxfId="61" priority="157" stopIfTrue="1">
      <formula>IF(OFFSET($X15,$A15,0)="Yes",TRUE,FALSE)*IF((LEN($C15)&gt;0),TRUE,FALSE)</formula>
    </cfRule>
    <cfRule type="expression" dxfId="60" priority="158" stopIfTrue="1">
      <formula>IF(OFFSET($X15,$A15,0)="Yes",TRUE,FALSE)+IF(LEN($C15)=0,TRUE,FALSE)</formula>
    </cfRule>
    <cfRule type="expression" dxfId="59" priority="159" stopIfTrue="1">
      <formula>IF((LEN($C15)&gt;0),TRUE,FALSE)</formula>
    </cfRule>
  </conditionalFormatting>
  <conditionalFormatting sqref="Y15:Z15">
    <cfRule type="expression" dxfId="58" priority="151" stopIfTrue="1">
      <formula>IF(OFFSET($X15,$A15,0)="No",TRUE,FALSE)*IF((LEN($C15)&gt;0),TRUE,FALSE)</formula>
    </cfRule>
    <cfRule type="expression" dxfId="57" priority="152" stopIfTrue="1">
      <formula>IF(OFFSET($X15,$A15,0)="No",TRUE,FALSE)+IF(LEN($C15)=0,TRUE,FALSE)</formula>
    </cfRule>
    <cfRule type="expression" dxfId="56" priority="153" stopIfTrue="1">
      <formula>IF((LEN($C15)&gt;0),TRUE,FALSE)</formula>
    </cfRule>
  </conditionalFormatting>
  <conditionalFormatting sqref="E15 L15:P15 R15 X15">
    <cfRule type="expression" dxfId="55" priority="140" stopIfTrue="1">
      <formula>IF(LEN($C15)=0,TRUE,FALSE)</formula>
    </cfRule>
    <cfRule type="expression" dxfId="54" priority="141" stopIfTrue="1">
      <formula>IF((LEN($C15)&gt;0),TRUE,FALSE)</formula>
    </cfRule>
  </conditionalFormatting>
  <conditionalFormatting sqref="AD16:AF16">
    <cfRule type="expression" dxfId="53" priority="133" stopIfTrue="1">
      <formula>IF(OFFSET($X16,$A16,0)="Yes",TRUE,FALSE)*IF((LEN($C16)&gt;0),TRUE,FALSE)</formula>
    </cfRule>
    <cfRule type="expression" dxfId="52" priority="134" stopIfTrue="1">
      <formula>IF(OFFSET($X16,$A16,0)="Yes",TRUE,FALSE)</formula>
    </cfRule>
    <cfRule type="expression" dxfId="51" priority="135" stopIfTrue="1">
      <formula>IF((LEN($C16)&gt;0),TRUE,FALSE)</formula>
    </cfRule>
  </conditionalFormatting>
  <conditionalFormatting sqref="AJ16:AK16">
    <cfRule type="expression" dxfId="50" priority="138" stopIfTrue="1">
      <formula>IF((LEN($C16)&gt;0),TRUE,FALSE)</formula>
    </cfRule>
  </conditionalFormatting>
  <conditionalFormatting sqref="AI16">
    <cfRule type="expression" dxfId="49" priority="136" stopIfTrue="1">
      <formula>NOT($A$6)*(ROW()&lt;ROW(hEpiThermInd)+$A$10/$A$9+1)</formula>
    </cfRule>
    <cfRule type="expression" dxfId="48" priority="137" stopIfTrue="1">
      <formula>IF((LEN($C16)&gt;0),TRUE,FALSE)</formula>
    </cfRule>
  </conditionalFormatting>
  <conditionalFormatting sqref="AA16:AB16">
    <cfRule type="expression" dxfId="47" priority="127" stopIfTrue="1">
      <formula>IF(OFFSET($X16,$A16,0)="No",TRUE,FALSE)*IF((LEN($C16)&gt;0),TRUE,FALSE)</formula>
    </cfRule>
    <cfRule type="expression" dxfId="46" priority="128" stopIfTrue="1">
      <formula>IF(OFFSET($X16,$A16,0)="No",TRUE,FALSE)</formula>
    </cfRule>
    <cfRule type="expression" dxfId="45" priority="129" stopIfTrue="1">
      <formula>IF((LEN($C16)&gt;0),TRUE,FALSE)</formula>
    </cfRule>
  </conditionalFormatting>
  <conditionalFormatting sqref="U16">
    <cfRule type="expression" dxfId="44" priority="121" stopIfTrue="1">
      <formula>IF((LEN($C16)&gt;0),TRUE,FALSE)*IF($U16&lt;=0.1,TRUE,FALSE)</formula>
    </cfRule>
    <cfRule type="cellIs" dxfId="43" priority="122" stopIfTrue="1" operator="lessThanOrEqual">
      <formula>0.1</formula>
    </cfRule>
    <cfRule type="expression" dxfId="42" priority="123" stopIfTrue="1">
      <formula>IF((LEN($C16)&gt;0),TRUE,FALSE)</formula>
    </cfRule>
  </conditionalFormatting>
  <conditionalFormatting sqref="K16">
    <cfRule type="expression" dxfId="41" priority="118" stopIfTrue="1">
      <formula>IF(LEN($C16)=0,TRUE,FALSE)</formula>
    </cfRule>
    <cfRule type="expression" dxfId="40" priority="119" stopIfTrue="1">
      <formula>IF($H16=1,FALSE,IF((LEN($C16)&gt;0)*($H16&lt;&gt;""),TRUE,FALSE))</formula>
    </cfRule>
    <cfRule type="expression" dxfId="39" priority="120" stopIfTrue="1">
      <formula>IF((LEN($C16)&gt;0),TRUE,FALSE)</formula>
    </cfRule>
  </conditionalFormatting>
  <conditionalFormatting sqref="F16">
    <cfRule type="expression" dxfId="38" priority="115" stopIfTrue="1">
      <formula>IF((LEN($C16)&gt;0),TRUE,FALSE)*IF((OFFSET($C16,$A16,0)="LI6(N,A)T")+(OFFSET($C16,$A16,0)="B10(N,A)LI7"),TRUE,FALSE)</formula>
    </cfRule>
    <cfRule type="expression" dxfId="37" priority="116" stopIfTrue="1">
      <formula>IF((OFFSET($C16,$A16,0)="LI6(N,A)T")+(OFFSET($C16,$A16,0)="B10(N,A)LI7"),TRUE,FALSE)</formula>
    </cfRule>
    <cfRule type="expression" dxfId="36" priority="117" stopIfTrue="1">
      <formula>IF((LEN($C16)&gt;0),TRUE,FALSE)</formula>
    </cfRule>
  </conditionalFormatting>
  <conditionalFormatting sqref="C16:D16 G16:H16 S16:T16 V16 Q16 AG16:AH16 J16">
    <cfRule type="expression" dxfId="35" priority="112" stopIfTrue="1">
      <formula>IF((LEN($C16)&gt;0),TRUE,FALSE)</formula>
    </cfRule>
  </conditionalFormatting>
  <conditionalFormatting sqref="AC16">
    <cfRule type="expression" dxfId="34" priority="130" stopIfTrue="1">
      <formula>IF(OFFSET($X16,$A16,0)="Yes",TRUE,FALSE)*IF((LEN($C16)&gt;0),TRUE,FALSE)</formula>
    </cfRule>
    <cfRule type="expression" dxfId="33" priority="131" stopIfTrue="1">
      <formula>IF(OFFSET($X16,$A16,0)="Yes",TRUE,FALSE)+IF(LEN($C16)=0,TRUE,FALSE)</formula>
    </cfRule>
    <cfRule type="expression" dxfId="32" priority="132" stopIfTrue="1">
      <formula>IF((LEN($C16)&gt;0),TRUE,FALSE)</formula>
    </cfRule>
  </conditionalFormatting>
  <conditionalFormatting sqref="Y16:Z16">
    <cfRule type="expression" dxfId="31" priority="124" stopIfTrue="1">
      <formula>IF(OFFSET($X16,$A16,0)="No",TRUE,FALSE)*IF((LEN($C16)&gt;0),TRUE,FALSE)</formula>
    </cfRule>
    <cfRule type="expression" dxfId="30" priority="125" stopIfTrue="1">
      <formula>IF(OFFSET($X16,$A16,0)="No",TRUE,FALSE)+IF(LEN($C16)=0,TRUE,FALSE)</formula>
    </cfRule>
    <cfRule type="expression" dxfId="29" priority="126" stopIfTrue="1">
      <formula>IF((LEN($C16)&gt;0),TRUE,FALSE)</formula>
    </cfRule>
  </conditionalFormatting>
  <conditionalFormatting sqref="E16 L16:P16 R16 X16">
    <cfRule type="expression" dxfId="28" priority="113" stopIfTrue="1">
      <formula>IF(LEN($C16)=0,TRUE,FALSE)</formula>
    </cfRule>
    <cfRule type="expression" dxfId="27" priority="114" stopIfTrue="1">
      <formula>IF((LEN($C16)&gt;0),TRUE,FALSE)</formula>
    </cfRule>
  </conditionalFormatting>
  <conditionalFormatting sqref="AD17:AF17">
    <cfRule type="expression" dxfId="26" priority="106" stopIfTrue="1">
      <formula>IF(OFFSET($X17,$A17,0)="Yes",TRUE,FALSE)*IF((LEN($C17)&gt;0),TRUE,FALSE)</formula>
    </cfRule>
    <cfRule type="expression" dxfId="25" priority="107" stopIfTrue="1">
      <formula>IF(OFFSET($X17,$A17,0)="Yes",TRUE,FALSE)</formula>
    </cfRule>
    <cfRule type="expression" dxfId="24" priority="108" stopIfTrue="1">
      <formula>IF((LEN($C17)&gt;0),TRUE,FALSE)</formula>
    </cfRule>
  </conditionalFormatting>
  <conditionalFormatting sqref="AJ17:AK17">
    <cfRule type="expression" dxfId="23" priority="111" stopIfTrue="1">
      <formula>IF((LEN($C17)&gt;0),TRUE,FALSE)</formula>
    </cfRule>
  </conditionalFormatting>
  <conditionalFormatting sqref="AI17">
    <cfRule type="expression" dxfId="22" priority="109" stopIfTrue="1">
      <formula>NOT($A$6)*(ROW()&lt;ROW(hEpiThermInd)+$A$10/$A$9+1)</formula>
    </cfRule>
    <cfRule type="expression" dxfId="21" priority="110" stopIfTrue="1">
      <formula>IF((LEN($C17)&gt;0),TRUE,FALSE)</formula>
    </cfRule>
  </conditionalFormatting>
  <conditionalFormatting sqref="AA17:AB17">
    <cfRule type="expression" dxfId="20" priority="100" stopIfTrue="1">
      <formula>IF(OFFSET($X17,$A17,0)="No",TRUE,FALSE)*IF((LEN($C17)&gt;0),TRUE,FALSE)</formula>
    </cfRule>
    <cfRule type="expression" dxfId="19" priority="101" stopIfTrue="1">
      <formula>IF(OFFSET($X17,$A17,0)="No",TRUE,FALSE)</formula>
    </cfRule>
    <cfRule type="expression" dxfId="18" priority="102" stopIfTrue="1">
      <formula>IF((LEN($C17)&gt;0),TRUE,FALSE)</formula>
    </cfRule>
  </conditionalFormatting>
  <conditionalFormatting sqref="U17">
    <cfRule type="expression" dxfId="17" priority="94" stopIfTrue="1">
      <formula>IF((LEN($C17)&gt;0),TRUE,FALSE)*IF($U17&lt;=0.1,TRUE,FALSE)</formula>
    </cfRule>
    <cfRule type="cellIs" dxfId="16" priority="95" stopIfTrue="1" operator="lessThanOrEqual">
      <formula>0.1</formula>
    </cfRule>
    <cfRule type="expression" dxfId="15" priority="96" stopIfTrue="1">
      <formula>IF((LEN($C17)&gt;0),TRUE,FALSE)</formula>
    </cfRule>
  </conditionalFormatting>
  <conditionalFormatting sqref="K17">
    <cfRule type="expression" dxfId="14" priority="91" stopIfTrue="1">
      <formula>IF(LEN($C17)=0,TRUE,FALSE)</formula>
    </cfRule>
    <cfRule type="expression" dxfId="13" priority="92" stopIfTrue="1">
      <formula>IF($H17=1,FALSE,IF((LEN($C17)&gt;0)*($H17&lt;&gt;""),TRUE,FALSE))</formula>
    </cfRule>
    <cfRule type="expression" dxfId="12" priority="93" stopIfTrue="1">
      <formula>IF((LEN($C17)&gt;0),TRUE,FALSE)</formula>
    </cfRule>
  </conditionalFormatting>
  <conditionalFormatting sqref="F17">
    <cfRule type="expression" dxfId="11" priority="88" stopIfTrue="1">
      <formula>IF((LEN($C17)&gt;0),TRUE,FALSE)*IF((OFFSET($C17,$A17,0)="LI6(N,A)T")+(OFFSET($C17,$A17,0)="B10(N,A)LI7"),TRUE,FALSE)</formula>
    </cfRule>
    <cfRule type="expression" dxfId="10" priority="89" stopIfTrue="1">
      <formula>IF((OFFSET($C17,$A17,0)="LI6(N,A)T")+(OFFSET($C17,$A17,0)="B10(N,A)LI7"),TRUE,FALSE)</formula>
    </cfRule>
    <cfRule type="expression" dxfId="9" priority="90" stopIfTrue="1">
      <formula>IF((LEN($C17)&gt;0),TRUE,FALSE)</formula>
    </cfRule>
  </conditionalFormatting>
  <conditionalFormatting sqref="C17:D17 G17:H17 S17:T17 V17 Q17 AG17:AH17 J17">
    <cfRule type="expression" dxfId="8" priority="85" stopIfTrue="1">
      <formula>IF((LEN($C17)&gt;0),TRUE,FALSE)</formula>
    </cfRule>
  </conditionalFormatting>
  <conditionalFormatting sqref="AC17">
    <cfRule type="expression" dxfId="7" priority="103" stopIfTrue="1">
      <formula>IF(OFFSET($X17,$A17,0)="Yes",TRUE,FALSE)*IF((LEN($C17)&gt;0),TRUE,FALSE)</formula>
    </cfRule>
    <cfRule type="expression" dxfId="6" priority="104" stopIfTrue="1">
      <formula>IF(OFFSET($X17,$A17,0)="Yes",TRUE,FALSE)+IF(LEN($C17)=0,TRUE,FALSE)</formula>
    </cfRule>
    <cfRule type="expression" dxfId="5" priority="105" stopIfTrue="1">
      <formula>IF((LEN($C17)&gt;0),TRUE,FALSE)</formula>
    </cfRule>
  </conditionalFormatting>
  <conditionalFormatting sqref="Y17:Z17">
    <cfRule type="expression" dxfId="4" priority="97" stopIfTrue="1">
      <formula>IF(OFFSET($X17,$A17,0)="No",TRUE,FALSE)*IF((LEN($C17)&gt;0),TRUE,FALSE)</formula>
    </cfRule>
    <cfRule type="expression" dxfId="3" priority="98" stopIfTrue="1">
      <formula>IF(OFFSET($X17,$A17,0)="No",TRUE,FALSE)+IF(LEN($C17)=0,TRUE,FALSE)</formula>
    </cfRule>
    <cfRule type="expression" dxfId="2" priority="99" stopIfTrue="1">
      <formula>IF((LEN($C17)&gt;0),TRUE,FALSE)</formula>
    </cfRule>
  </conditionalFormatting>
  <conditionalFormatting sqref="E17 L17:P17 R17 X17">
    <cfRule type="expression" dxfId="1" priority="86" stopIfTrue="1">
      <formula>IF(LEN($C17)=0,TRUE,FALSE)</formula>
    </cfRule>
    <cfRule type="expression" dxfId="0" priority="87" stopIfTrue="1">
      <formula>IF((LEN($C17)&gt;0),TRUE,FALSE)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2017-12-29T14:52:39Z</dcterms:modified>
</cp:coreProperties>
</file>