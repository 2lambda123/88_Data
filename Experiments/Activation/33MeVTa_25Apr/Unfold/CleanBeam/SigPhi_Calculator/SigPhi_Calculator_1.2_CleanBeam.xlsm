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7" i="1" l="1"/>
  <c r="F17" i="1"/>
  <c r="G16" i="1"/>
  <c r="F16" i="1"/>
  <c r="G13" i="1"/>
  <c r="F13" i="1"/>
  <c r="G18" i="1" l="1"/>
  <c r="G15" i="1"/>
  <c r="G12" i="1"/>
  <c r="F18" i="1"/>
  <c r="F15" i="1"/>
  <c r="G14" i="1"/>
  <c r="F14" i="1"/>
  <c r="F12" i="1"/>
  <c r="AH18" i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3" i="1"/>
  <c r="U14" i="1"/>
  <c r="U16" i="1"/>
  <c r="U15" i="1"/>
  <c r="U12" i="1"/>
  <c r="V14" i="1" l="1"/>
  <c r="AE14" i="1" s="1"/>
  <c r="V12" i="1"/>
  <c r="AE12" i="1" s="1"/>
  <c r="V15" i="1"/>
  <c r="AF15" i="1" s="1"/>
  <c r="V16" i="1"/>
  <c r="AE16" i="1" s="1"/>
  <c r="V13" i="1"/>
  <c r="AF13" i="1" s="1"/>
  <c r="AB12" i="1"/>
  <c r="C14" i="3"/>
  <c r="D14" i="3"/>
  <c r="B15" i="3"/>
  <c r="AA12" i="1" l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<sst xmlns="http://schemas.openxmlformats.org/spreadsheetml/2006/main" count="1254" uniqueCount="659">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</sst>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99704"/>
        <c:axId val="438915360"/>
      </c:scatterChart>
      <c:valAx>
        <c:axId val="440799704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8915360"/>
        <c:crosses val="autoZero"/>
        <c:crossBetween val="midCat"/>
        <c:majorUnit val="1"/>
        <c:minorUnit val="0.25"/>
      </c:valAx>
      <c:valAx>
        <c:axId val="43891536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99704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A3" sqref="A3:H61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H17" sqref="H17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1726.6/5.306</f>
        <v>325.40520165849978</v>
      </c>
      <c r="G12" s="166">
        <f>69.2/1726.6</f>
        <v>4.0078767519981469E-2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1.4589082154683709E-20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1.4589082154683709E-20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225.3/5.306</f>
        <v>42.461364493026764</v>
      </c>
      <c r="G13" s="166">
        <f>4.6/198.8</f>
        <v>2.3138832997987923E-2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1.9889723790357328E-20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1.9889723790357328E-20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17.31/16.934</f>
        <v>1.0222038502421162</v>
      </c>
      <c r="G14" s="166">
        <f>0.39/17.31</f>
        <v>2.2530329289428077E-2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3.6331885542902801E-21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3.6331885542902801E-21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1709.6/14.326</f>
        <v>119.33547396342314</v>
      </c>
      <c r="G15" s="166">
        <f>24.8/1709.6</f>
        <v>1.4506317267197007E-2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8.7410443384087429E-20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0.99999999999999889</v>
      </c>
      <c r="V15" s="51">
        <f t="shared" ca="1" si="9"/>
        <v>8.7410443384087525E-20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28.49/3.298</f>
        <v>8.6385688295936927</v>
      </c>
      <c r="G16" s="166">
        <f>1.55/28.49</f>
        <v>5.4405054405054408E-2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2.844167327584653E-19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2.844167327584653E-19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17.85/3.298</f>
        <v>5.4123711340206189</v>
      </c>
      <c r="G17" s="166">
        <f>0.465/17.85</f>
        <v>2.6050420168067225E-2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7.795749795432572E-20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0.9999999999999869</v>
      </c>
      <c r="V17" s="51">
        <f t="shared" ca="1" si="9"/>
        <v>7.7957497954326743E-20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6212901.4428385766</v>
      </c>
      <c r="AF17" s="112">
        <f ca="1">IF((OFFSET($X17,$A17,0)="Yes")+($F17="")+ISERROR($V17),"",IF(($U17&lt;=0.1)*(AK17&gt;3),"",$AE17/$AD17))</f>
        <v>371937.50980055041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5310.6/14.326</f>
        <v>370.69663548792408</v>
      </c>
      <c r="G18" s="166">
        <f>96.6/5310.6</f>
        <v>1.8190035024291038E-2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9.2539171925717035E-20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9.2539171925717095E-20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4521197.282840238</v>
      </c>
      <c r="AF18" s="112">
        <f ca="1">IF((OFFSET($X18,$A18,0)="Yes")+($F18="")+ISERROR($V18),"",IF(($U18&lt;=0.1)*(AK18&gt;3),"",$AE18/$AD18))</f>
        <v>254425.99179911861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3.13E+05  (26.53%)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26.531939052682969</v>
      </c>
      <c r="AJ20" s="96">
        <f ca="1">AvgThemalFluence(D20)</f>
        <v>313181.7507998345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26.531939052682969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2018-03-02T18:47:39Z</dcterms:modified>
</cp:coreProperties>
</file>