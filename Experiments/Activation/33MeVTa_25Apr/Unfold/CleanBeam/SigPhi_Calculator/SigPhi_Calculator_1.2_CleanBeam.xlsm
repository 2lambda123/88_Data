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F17" i="1" l="1"/>
  <c r="F16" i="1"/>
  <c r="F15" i="1"/>
  <c r="F14" i="1"/>
  <c r="F13" i="1"/>
  <c r="F12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U12" i="1"/>
  <c r="U13" i="1"/>
  <c r="U14" i="1"/>
  <c r="U15" i="1"/>
  <c r="U16" i="1"/>
  <c r="V16" i="1" l="1"/>
  <c r="AE16" i="1" s="1"/>
  <c r="V15" i="1"/>
  <c r="AB15" i="1" s="1"/>
  <c r="V14" i="1"/>
  <c r="AE14" i="1" s="1"/>
  <c r="V13" i="1"/>
  <c r="AF13" i="1" s="1"/>
  <c r="V12" i="1"/>
  <c r="AE12" i="1" s="1"/>
  <c r="AE15" i="1"/>
  <c r="D13" i="3"/>
  <c r="C13" i="3"/>
  <c r="B14" i="3"/>
  <c r="AB12" i="1" l="1"/>
  <c r="AA16" i="1"/>
  <c r="AF12" i="1"/>
  <c r="AF16" i="1"/>
  <c r="AA12" i="1"/>
  <c r="AB16" i="1"/>
  <c r="AA15" i="1"/>
  <c r="AF15" i="1"/>
  <c r="AA13" i="1"/>
  <c r="AF14" i="1"/>
  <c r="AB14" i="1"/>
  <c r="AB13" i="1"/>
  <c r="AE13" i="1"/>
  <c r="AA14" i="1"/>
  <c r="C14" i="3"/>
  <c r="D14" i="3"/>
  <c r="B15" i="3"/>
  <c r="AA19" i="1" l="1" a="1"/>
  <c r="AA19" i="1" s="1"/>
  <c r="AF19" i="1" a="1"/>
  <c r="AF19" i="1" s="1"/>
  <c r="AB19" i="1" a="1"/>
  <c r="AB19" i="1" s="1"/>
  <c r="AI19" i="1" a="1"/>
  <c r="AI19" i="1" s="1"/>
  <c r="AI21" i="1" s="1"/>
  <c r="C15" i="3"/>
  <c r="D15" i="3"/>
  <c r="B16" i="3"/>
  <c r="D16" i="3" l="1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<sst xmlns="http://schemas.openxmlformats.org/spreadsheetml/2006/main" count="1251" uniqueCount="659">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</sst>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5" formatCode="yyyy\-mmm\-dd"/>
    <numFmt numFmtId="166" formatCode="0.000E+00"/>
    <numFmt numFmtId="167" formatCode="0.0000E+00"/>
    <numFmt numFmtId="168" formatCode="0.0000"/>
    <numFmt numFmtId="176" formatCode="?0.0????"/>
    <numFmt numFmtId="177" formatCode="\ \ ?0.0????"/>
    <numFmt numFmtId="178" formatCode="0.000"/>
    <numFmt numFmtId="179" formatCode="0.00000"/>
    <numFmt numFmtId="181" formatCode="0.00000\ E+00"/>
    <numFmt numFmtId="182" formatCode="0.0000\ E+00"/>
    <numFmt numFmtId="183" formatCode="\(General\ &quot;unique)&quot;"/>
    <numFmt numFmtId="184" formatCode="General\ &quot;Non-thresh. rxn&quot;"/>
    <numFmt numFmtId="185" formatCode="General\ &quot;Covers&quot;"/>
    <numFmt numFmtId="187" formatCode="* ??0.0???????\ \ "/>
    <numFmt numFmtId="188" formatCode="\ \ \ \ \ 0.0?????\ ;\ \ \ \ \-0.0?????\ ;0\ \ \ \ \ \ \ \ ;@"/>
    <numFmt numFmtId="189" formatCode="* ????0.0??\ \ "/>
    <numFmt numFmtId="190" formatCode="* ????0.0????\ \ \ "/>
    <numFmt numFmtId="192" formatCode="General\ &quot;Unique Thermal MAT&quot;"/>
    <numFmt numFmtId="193" formatCode="* ??0.0?????????\ \ "/>
  </numFmts>
  <fonts count="67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10"/>
      <color indexed="12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12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33" fillId="2" borderId="26" xfId="0" applyFont="1" applyFill="1" applyBorder="1" applyAlignment="1">
      <alignment horizontal="centerContinuous"/>
    </xf>
    <xf numFmtId="0" fontId="33" fillId="2" borderId="27" xfId="0" applyFont="1" applyFill="1" applyBorder="1" applyAlignment="1">
      <alignment horizontal="centerContinuous"/>
    </xf>
    <xf numFmtId="0" fontId="33" fillId="2" borderId="28" xfId="0" applyFont="1" applyFill="1" applyBorder="1" applyAlignment="1">
      <alignment horizontal="centerContinuous"/>
    </xf>
    <xf numFmtId="0" fontId="33" fillId="3" borderId="26" xfId="0" applyFont="1" applyFill="1" applyBorder="1" applyAlignment="1">
      <alignment horizontal="centerContinuous"/>
    </xf>
    <xf numFmtId="0" fontId="33" fillId="3" borderId="27" xfId="0" applyFont="1" applyFill="1" applyBorder="1" applyAlignment="1">
      <alignment horizontal="centerContinuous"/>
    </xf>
    <xf numFmtId="0" fontId="33" fillId="3" borderId="28" xfId="0" applyFont="1" applyFill="1" applyBorder="1" applyAlignment="1">
      <alignment horizontal="centerContinuous"/>
    </xf>
    <xf numFmtId="0" fontId="33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6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right"/>
    </xf>
    <xf numFmtId="0" fontId="37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7" fillId="0" borderId="31" xfId="0" applyFont="1" applyBorder="1" applyAlignment="1">
      <alignment horizontal="center" vertical="center" wrapText="1"/>
    </xf>
    <xf numFmtId="177" fontId="0" fillId="0" borderId="30" xfId="0" applyNumberFormat="1" applyBorder="1" applyAlignment="1">
      <alignment horizontal="center"/>
    </xf>
    <xf numFmtId="176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0" fontId="33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33" fillId="5" borderId="28" xfId="0" applyFont="1" applyFill="1" applyBorder="1" applyAlignment="1">
      <alignment horizontal="centerContinuous"/>
    </xf>
    <xf numFmtId="0" fontId="38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36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9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32" fillId="6" borderId="4" xfId="0" applyFont="1" applyFill="1" applyBorder="1"/>
    <xf numFmtId="0" fontId="37" fillId="0" borderId="1" xfId="0" applyFont="1" applyBorder="1" applyAlignment="1">
      <alignment horizontal="center" vertical="center" wrapText="1"/>
    </xf>
    <xf numFmtId="0" fontId="35" fillId="0" borderId="30" xfId="0" applyFont="1" applyBorder="1"/>
    <xf numFmtId="0" fontId="0" fillId="0" borderId="33" xfId="0" applyBorder="1" applyAlignment="1">
      <alignment horizontal="center"/>
    </xf>
    <xf numFmtId="0" fontId="35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40" fillId="0" borderId="33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 wrapText="1"/>
    </xf>
    <xf numFmtId="181" fontId="0" fillId="0" borderId="30" xfId="0" applyNumberFormat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181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41" fillId="0" borderId="0" xfId="0" applyFont="1" applyAlignment="1">
      <alignment horizontal="right"/>
    </xf>
    <xf numFmtId="0" fontId="42" fillId="0" borderId="0" xfId="0" applyFont="1"/>
    <xf numFmtId="0" fontId="13" fillId="0" borderId="5" xfId="0" applyFont="1" applyBorder="1" applyAlignment="1">
      <alignment horizontal="center"/>
    </xf>
    <xf numFmtId="183" fontId="14" fillId="0" borderId="0" xfId="0" applyNumberFormat="1" applyFont="1" applyAlignment="1">
      <alignment horizontal="center"/>
    </xf>
    <xf numFmtId="184" fontId="14" fillId="0" borderId="0" xfId="0" applyNumberFormat="1" applyFont="1" applyAlignment="1">
      <alignment horizontal="center"/>
    </xf>
    <xf numFmtId="185" fontId="14" fillId="0" borderId="0" xfId="0" applyNumberFormat="1" applyFont="1" applyAlignment="1">
      <alignment horizontal="center" wrapText="1"/>
    </xf>
    <xf numFmtId="0" fontId="43" fillId="0" borderId="0" xfId="0" applyFont="1"/>
    <xf numFmtId="0" fontId="36" fillId="0" borderId="1" xfId="0" applyFont="1" applyFill="1" applyBorder="1" applyAlignment="1">
      <alignment horizontal="center" vertical="center" wrapText="1"/>
    </xf>
    <xf numFmtId="0" fontId="36" fillId="0" borderId="6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87" fontId="0" fillId="0" borderId="34" xfId="0" applyNumberFormat="1" applyBorder="1" applyAlignment="1"/>
    <xf numFmtId="188" fontId="0" fillId="0" borderId="33" xfId="0" quotePrefix="1" applyNumberFormat="1" applyBorder="1" applyAlignment="1">
      <alignment horizontal="center"/>
    </xf>
    <xf numFmtId="18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8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88" fontId="0" fillId="8" borderId="33" xfId="0" applyNumberFormat="1" applyFill="1" applyBorder="1" applyAlignment="1">
      <alignment horizontal="center"/>
    </xf>
    <xf numFmtId="0" fontId="44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6" fillId="0" borderId="33" xfId="0" applyFont="1" applyBorder="1" applyAlignment="1">
      <alignment horizontal="center"/>
    </xf>
    <xf numFmtId="0" fontId="46" fillId="0" borderId="33" xfId="0" applyFont="1" applyBorder="1"/>
    <xf numFmtId="0" fontId="46" fillId="0" borderId="33" xfId="0" applyFont="1" applyFill="1" applyBorder="1"/>
    <xf numFmtId="0" fontId="45" fillId="0" borderId="1" xfId="0" applyNumberFormat="1" applyFont="1" applyBorder="1" applyAlignment="1">
      <alignment horizontal="center" vertical="center" wrapText="1"/>
    </xf>
    <xf numFmtId="0" fontId="45" fillId="0" borderId="1" xfId="0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46" fillId="0" borderId="33" xfId="0" applyNumberFormat="1" applyFont="1" applyBorder="1" applyAlignment="1">
      <alignment horizontal="center"/>
    </xf>
    <xf numFmtId="0" fontId="46" fillId="4" borderId="33" xfId="0" applyNumberFormat="1" applyFont="1" applyFill="1" applyBorder="1" applyAlignment="1">
      <alignment horizontal="center"/>
    </xf>
    <xf numFmtId="190" fontId="46" fillId="0" borderId="33" xfId="0" applyNumberFormat="1" applyFont="1" applyBorder="1"/>
    <xf numFmtId="190" fontId="46" fillId="0" borderId="33" xfId="0" quotePrefix="1" applyNumberFormat="1" applyFont="1" applyBorder="1" applyAlignment="1">
      <alignment horizontal="center"/>
    </xf>
    <xf numFmtId="190" fontId="46" fillId="8" borderId="33" xfId="0" applyNumberFormat="1" applyFont="1" applyFill="1" applyBorder="1"/>
    <xf numFmtId="190" fontId="46" fillId="0" borderId="33" xfId="0" applyNumberFormat="1" applyFont="1" applyFill="1" applyBorder="1"/>
    <xf numFmtId="0" fontId="46" fillId="0" borderId="34" xfId="0" applyFont="1" applyBorder="1"/>
    <xf numFmtId="0" fontId="46" fillId="0" borderId="33" xfId="0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36" fillId="0" borderId="4" xfId="0" applyFont="1" applyBorder="1" applyAlignment="1"/>
    <xf numFmtId="0" fontId="42" fillId="0" borderId="0" xfId="0" applyFont="1" applyAlignment="1">
      <alignment horizontal="center"/>
    </xf>
    <xf numFmtId="178" fontId="48" fillId="0" borderId="0" xfId="0" applyNumberFormat="1" applyFont="1" applyAlignment="1">
      <alignment horizontal="center"/>
    </xf>
    <xf numFmtId="0" fontId="48" fillId="0" borderId="0" xfId="0" applyNumberFormat="1" applyFont="1" applyAlignment="1">
      <alignment horizontal="center"/>
    </xf>
    <xf numFmtId="0" fontId="49" fillId="0" borderId="1" xfId="0" applyFont="1" applyBorder="1" applyAlignment="1">
      <alignment horizontal="center" vertical="center" wrapText="1"/>
    </xf>
    <xf numFmtId="0" fontId="50" fillId="8" borderId="7" xfId="0" applyFont="1" applyFill="1" applyBorder="1" applyAlignment="1">
      <alignment horizontal="centerContinuous"/>
    </xf>
    <xf numFmtId="0" fontId="39" fillId="8" borderId="8" xfId="0" applyFont="1" applyFill="1" applyBorder="1" applyAlignment="1">
      <alignment horizontal="centerContinuous"/>
    </xf>
    <xf numFmtId="0" fontId="51" fillId="8" borderId="9" xfId="0" applyFont="1" applyFill="1" applyBorder="1" applyAlignment="1">
      <alignment horizontal="centerContinuous"/>
    </xf>
    <xf numFmtId="0" fontId="39" fillId="8" borderId="10" xfId="0" applyFont="1" applyFill="1" applyBorder="1" applyAlignment="1">
      <alignment horizontal="centerContinuous"/>
    </xf>
    <xf numFmtId="0" fontId="39" fillId="8" borderId="11" xfId="0" quotePrefix="1" applyFont="1" applyFill="1" applyBorder="1" applyAlignment="1">
      <alignment horizontal="centerContinuous"/>
    </xf>
    <xf numFmtId="0" fontId="39" fillId="8" borderId="12" xfId="0" applyFont="1" applyFill="1" applyBorder="1" applyAlignment="1">
      <alignment horizontal="centerContinuous"/>
    </xf>
    <xf numFmtId="0" fontId="0" fillId="0" borderId="0" xfId="0" applyFill="1" applyBorder="1"/>
    <xf numFmtId="178" fontId="48" fillId="0" borderId="0" xfId="0" applyNumberFormat="1" applyFont="1" applyAlignment="1">
      <alignment horizontal="center" wrapText="1"/>
    </xf>
    <xf numFmtId="0" fontId="39" fillId="0" borderId="13" xfId="0" applyFont="1" applyBorder="1" applyAlignment="1">
      <alignment horizontal="center"/>
    </xf>
    <xf numFmtId="0" fontId="35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9" fontId="0" fillId="0" borderId="30" xfId="0" applyNumberFormat="1" applyFill="1" applyBorder="1" applyAlignment="1">
      <alignment horizontal="center"/>
    </xf>
    <xf numFmtId="181" fontId="0" fillId="0" borderId="30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32" fillId="6" borderId="4" xfId="0" applyFont="1" applyFill="1" applyBorder="1" applyProtection="1"/>
    <xf numFmtId="0" fontId="0" fillId="6" borderId="4" xfId="0" applyFill="1" applyBorder="1" applyProtection="1"/>
    <xf numFmtId="0" fontId="35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82" fontId="0" fillId="0" borderId="30" xfId="0" applyNumberFormat="1" applyBorder="1" applyProtection="1"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8" fontId="0" fillId="0" borderId="0" xfId="0" applyNumberFormat="1" applyAlignment="1" applyProtection="1">
      <alignment horizontal="center"/>
    </xf>
    <xf numFmtId="0" fontId="36" fillId="0" borderId="4" xfId="0" applyFont="1" applyBorder="1" applyAlignment="1">
      <alignment horizontal="right" vertical="top"/>
    </xf>
    <xf numFmtId="165" fontId="0" fillId="0" borderId="4" xfId="0" applyNumberFormat="1" applyBorder="1" applyAlignment="1" applyProtection="1">
      <alignment horizontal="center" vertical="top"/>
      <protection locked="0"/>
    </xf>
    <xf numFmtId="0" fontId="41" fillId="0" borderId="0" xfId="0" applyFont="1" applyAlignment="1">
      <alignment horizontal="right" vertical="top"/>
    </xf>
    <xf numFmtId="165" fontId="0" fillId="0" borderId="0" xfId="0" applyNumberFormat="1" applyBorder="1" applyAlignment="1">
      <alignment horizontal="center" vertical="top"/>
    </xf>
    <xf numFmtId="0" fontId="35" fillId="0" borderId="0" xfId="0" applyFont="1" applyAlignment="1">
      <alignment horizontal="right" vertical="top"/>
    </xf>
    <xf numFmtId="166" fontId="38" fillId="0" borderId="0" xfId="0" applyNumberFormat="1" applyFont="1" applyAlignment="1">
      <alignment horizontal="center"/>
    </xf>
    <xf numFmtId="0" fontId="35" fillId="0" borderId="37" xfId="0" applyFont="1" applyBorder="1" applyAlignment="1">
      <alignment horizontal="right" vertical="center"/>
    </xf>
    <xf numFmtId="0" fontId="35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53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54" fillId="8" borderId="9" xfId="0" applyFont="1" applyFill="1" applyBorder="1" applyAlignment="1">
      <alignment horizontal="centerContinuous"/>
    </xf>
    <xf numFmtId="0" fontId="54" fillId="8" borderId="10" xfId="0" applyFont="1" applyFill="1" applyBorder="1" applyAlignment="1">
      <alignment horizontal="centerContinuous"/>
    </xf>
    <xf numFmtId="0" fontId="55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40" fillId="2" borderId="38" xfId="0" applyFont="1" applyFill="1" applyBorder="1" applyAlignment="1" applyProtection="1">
      <alignment horizontal="center" vertical="center"/>
      <protection locked="0"/>
    </xf>
    <xf numFmtId="0" fontId="35" fillId="0" borderId="30" xfId="0" applyFont="1" applyBorder="1" applyAlignment="1">
      <alignment horizontal="center"/>
    </xf>
    <xf numFmtId="0" fontId="35" fillId="6" borderId="4" xfId="0" applyFont="1" applyFill="1" applyBorder="1"/>
    <xf numFmtId="0" fontId="35" fillId="6" borderId="0" xfId="0" applyFont="1" applyFill="1"/>
    <xf numFmtId="0" fontId="51" fillId="0" borderId="1" xfId="0" applyFont="1" applyBorder="1" applyAlignment="1">
      <alignment horizontal="center" vertical="center" textRotation="90" wrapText="1"/>
    </xf>
    <xf numFmtId="0" fontId="35" fillId="0" borderId="33" xfId="0" applyFont="1" applyBorder="1" applyAlignment="1">
      <alignment horizontal="center"/>
    </xf>
    <xf numFmtId="0" fontId="57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8" fillId="2" borderId="28" xfId="0" applyFont="1" applyFill="1" applyBorder="1" applyAlignment="1" applyProtection="1">
      <protection locked="0"/>
    </xf>
    <xf numFmtId="0" fontId="0" fillId="11" borderId="0" xfId="0" applyFill="1"/>
    <xf numFmtId="0" fontId="59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50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76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61" fillId="8" borderId="9" xfId="0" applyFont="1" applyFill="1" applyBorder="1" applyAlignment="1">
      <alignment horizontal="centerContinuous"/>
    </xf>
    <xf numFmtId="0" fontId="62" fillId="0" borderId="3" xfId="0" applyFont="1" applyBorder="1" applyAlignment="1">
      <alignment horizontal="right"/>
    </xf>
    <xf numFmtId="0" fontId="63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right" vertical="center"/>
    </xf>
    <xf numFmtId="0" fontId="33" fillId="0" borderId="19" xfId="0" applyFont="1" applyBorder="1" applyAlignment="1">
      <alignment horizontal="right" vertical="center"/>
    </xf>
    <xf numFmtId="0" fontId="47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64" fillId="0" borderId="10" xfId="0" applyNumberFormat="1" applyFont="1" applyBorder="1" applyAlignment="1">
      <alignment horizontal="center"/>
    </xf>
    <xf numFmtId="0" fontId="65" fillId="0" borderId="17" xfId="0" applyNumberFormat="1" applyFont="1" applyBorder="1" applyAlignment="1">
      <alignment horizontal="center"/>
    </xf>
    <xf numFmtId="0" fontId="33" fillId="12" borderId="17" xfId="0" applyFont="1" applyFill="1" applyBorder="1" applyAlignment="1">
      <alignment horizontal="center"/>
    </xf>
    <xf numFmtId="0" fontId="33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7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33" fillId="0" borderId="22" xfId="0" applyFont="1" applyBorder="1" applyAlignment="1">
      <alignment horizontal="right" vertical="center"/>
    </xf>
    <xf numFmtId="0" fontId="0" fillId="0" borderId="23" xfId="0" applyBorder="1"/>
    <xf numFmtId="0" fontId="33" fillId="0" borderId="0" xfId="0" applyFont="1"/>
    <xf numFmtId="0" fontId="0" fillId="0" borderId="0" xfId="0" applyFont="1"/>
    <xf numFmtId="0" fontId="38" fillId="6" borderId="4" xfId="0" applyFont="1" applyFill="1" applyBorder="1" applyAlignment="1">
      <alignment vertical="center"/>
    </xf>
    <xf numFmtId="192" fontId="30" fillId="0" borderId="0" xfId="0" applyNumberFormat="1" applyFont="1" applyAlignment="1">
      <alignment horizontal="center"/>
    </xf>
    <xf numFmtId="0" fontId="66" fillId="0" borderId="2" xfId="0" applyFont="1" applyBorder="1" applyAlignment="1">
      <alignment horizontal="right" vertical="center"/>
    </xf>
    <xf numFmtId="176" fontId="0" fillId="0" borderId="0" xfId="0" applyNumberFormat="1" applyBorder="1" applyAlignment="1" applyProtection="1">
      <alignment horizontal="center"/>
      <protection locked="0"/>
    </xf>
    <xf numFmtId="0" fontId="62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8" fontId="48" fillId="0" borderId="4" xfId="0" applyNumberFormat="1" applyFont="1" applyBorder="1" applyAlignment="1">
      <alignment horizontal="center"/>
    </xf>
    <xf numFmtId="0" fontId="53" fillId="0" borderId="4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51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46" fillId="0" borderId="30" xfId="0" applyFont="1" applyBorder="1" applyAlignment="1">
      <alignment horizontal="center"/>
    </xf>
    <xf numFmtId="0" fontId="46" fillId="0" borderId="30" xfId="0" applyFont="1" applyBorder="1"/>
    <xf numFmtId="0" fontId="0" fillId="0" borderId="30" xfId="0" applyFill="1" applyBorder="1"/>
    <xf numFmtId="0" fontId="46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87" fontId="0" fillId="0" borderId="39" xfId="0" applyNumberFormat="1" applyBorder="1" applyAlignment="1"/>
    <xf numFmtId="188" fontId="0" fillId="0" borderId="30" xfId="0" applyNumberFormat="1" applyBorder="1" applyAlignment="1">
      <alignment horizontal="center"/>
    </xf>
    <xf numFmtId="0" fontId="46" fillId="4" borderId="30" xfId="0" applyNumberFormat="1" applyFont="1" applyFill="1" applyBorder="1" applyAlignment="1">
      <alignment horizontal="center"/>
    </xf>
    <xf numFmtId="18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46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93" fontId="46" fillId="0" borderId="33" xfId="0" applyNumberFormat="1" applyFont="1" applyBorder="1"/>
    <xf numFmtId="193" fontId="46" fillId="0" borderId="33" xfId="0" applyNumberFormat="1" applyFont="1" applyBorder="1" applyAlignment="1">
      <alignment horizontal="center"/>
    </xf>
    <xf numFmtId="18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52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18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26880"/>
        <c:axId val="432727272"/>
      </c:scatterChart>
      <c:valAx>
        <c:axId val="43272688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727272"/>
        <c:crosses val="autoZero"/>
        <c:crossBetween val="midCat"/>
        <c:majorUnit val="1"/>
        <c:minorUnit val="0.25"/>
      </c:valAx>
      <c:valAx>
        <c:axId val="43272727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72688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E15" activePane="bottomRight" state="frozenSplit"/>
      <selection activeCell="A10" sqref="A10"/>
      <selection pane="topRight" activeCell="C10" sqref="C10"/>
      <selection pane="bottomLeft" activeCell="A4" sqref="A4"/>
      <selection pane="bottomRight" activeCell="V7" sqref="V7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1673/5.306</f>
        <v>315.30343007915565</v>
      </c>
      <c r="G12" s="166">
        <v>0.02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 LOG10(INDEX(MACdata,MATCH($E12,eMAC,1),INDEX(RxnData,$AK12,28)))) / (LOG10(INDEX(eMAC,MATCH($E12,eMAC,1)+1)) - LOG10(INDEX(eMAC,MATCH($E12,eMAC,1))))) * (LOG10($E12) - LOG10(INDEX(eMAC,MATCH($E12,eMAC,1)))) + 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1.4136183507926474E-20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7" ca="1" si="9">IF($F12="","",$S12 / IF($U12="",1,$U12))</f>
        <v>1.4136183507926474E-20</v>
      </c>
      <c r="X12" s="200" t="str">
        <f t="shared" ref="X12:X17" ca="1" si="10">IF($A12=0,INDEX(RxnData,$AK12,6),"")</f>
        <v>Yes</v>
      </c>
      <c r="Y12" s="201"/>
      <c r="Z12" s="201"/>
      <c r="AA12" s="53" t="e">
        <f t="shared" ref="AA12:AA17" ca="1" si="11">IF((OFFSET($X12,$A12,0)="No")+($F12="")+ISERROR($V12),"",$V12*($D$7*86400)*(1E+24/OFFSET($Y12,$A12,0)))</f>
        <v>#DIV/0!</v>
      </c>
      <c r="AB12" s="53" t="e">
        <f t="shared" ref="AB12:AB17" ca="1" si="12">IF((OFFSET($X12,$A12,0)="No")+($F12="")+ISERROR($V12),"",$V12*($D$7*86400)*(1E+24/OFFSET($Z12,$A12,0)))</f>
        <v>#DIV/0!</v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218/5.306</f>
        <v>41.085563513004146</v>
      </c>
      <c r="G13" s="166">
        <v>1.03E-2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1.924527202085174E-20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1.924527202085174E-20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17.7/16.934</f>
        <v>1.0452344395889925</v>
      </c>
      <c r="G14" s="166">
        <v>1.52E-2</v>
      </c>
      <c r="H14" s="125">
        <v>1</v>
      </c>
      <c r="I14" s="125" t="s">
        <v>33</v>
      </c>
      <c r="J14" s="125">
        <v>39.369999999999997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0.97706990967412832</v>
      </c>
      <c r="R14" s="197">
        <f t="shared" ca="1" si="6"/>
        <v>1</v>
      </c>
      <c r="S14" s="51">
        <f t="shared" ca="1" si="7"/>
        <v>3.6771520367132593E-21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3.6771520367132593E-21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1695.7/14.326</f>
        <v>118.36521010749686</v>
      </c>
      <c r="G15" s="166">
        <v>5.4000000000000003E-3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 LOG10(INDEX(MACdata,MATCH($E15,eMAC,1),INDEX(RxnData,$AK15,28)))) / (LOG10(INDEX(eMAC,MATCH($E15,eMAC,1)+1)) - LOG10(INDEX(eMAC,MATCH($E15,eMAC,1))))) * (LOG10($E15) - LOG10(INDEX(eMAC,MATCH($E15,eMAC,1)))) + 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8.6699747804396978E-20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0.99999999999999878</v>
      </c>
      <c r="V15" s="51">
        <f t="shared" ca="1" si="9"/>
        <v>8.6699747804397087E-20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30.978/3.298</f>
        <v>9.3929654335961192</v>
      </c>
      <c r="G16" s="166">
        <v>1.24E-2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 LOG10(INDEX(MACdata,MATCH($E16,eMAC,1),INDEX(RxnData,$AK16,28)))) / (LOG10(INDEX(eMAC,MATCH($E16,eMAC,1)+1)) - LOG10(INDEX(eMAC,MATCH($E16,eMAC,1))))) * (LOG10($E16) - LOG10(INDEX(eMAC,MATCH($E16,eMAC,1)))) + 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3.0925452956797966E-19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3.0925452956797966E-19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19.411/3.298</f>
        <v>5.8856882959369319</v>
      </c>
      <c r="G17" s="166">
        <v>1.67E-2</v>
      </c>
      <c r="H17" s="125">
        <v>1</v>
      </c>
      <c r="I17" s="125" t="s">
        <v>33</v>
      </c>
      <c r="J17" s="125">
        <v>3.71</v>
      </c>
      <c r="K17" s="195">
        <f t="shared" ref="K17" ca="1" si="31">IF(($A17=0)*(H17=1)*((E17&lt;&gt;"")*(AK17&gt;3)+(AK17&lt; 4)),IF($O17="--",0,INDEX(RxnData,$AK17,27) * 10^(((LOG10(INDEX(MACdata,MATCH($E17,eMAC,1)+1,INDEX(RxnData,$AK17,28))) - LOG10(INDEX(MACdata,MATCH($E17,eMAC,1),INDEX(RxnData,$AK17,28)))) / (LOG10(INDEX(eMAC,MATCH($E17,eMAC,1)+1)) - LOG10(INDEX(eMAC,MATCH($E17,eMAC,1))))) * (LOG10($E17) - LOG10(INDEX(eMAC,MATCH($E17,eMAC,1)))) + 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0.98130636105807867</v>
      </c>
      <c r="R17" s="197">
        <f t="shared" ca="1" si="6"/>
        <v>1</v>
      </c>
      <c r="S17" s="51">
        <f t="shared" ca="1" si="7"/>
        <v>8.4779256078149639E-20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0.9999999999999879</v>
      </c>
      <c r="V17" s="51">
        <f t="shared" ca="1" si="9"/>
        <v>8.4779256078150662E-20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6756568.3382927179</v>
      </c>
      <c r="AF17" s="112">
        <f ca="1">IF((OFFSET($X17,$A17,0)="Yes")+($F17="")+ISERROR($V17),"",IF(($U17&lt;=0.1)*(AK17&gt;3),"",$AE17/$AD17))</f>
        <v>404484.31794109981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e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>#DIV/0!</v>
      </c>
      <c r="AB19" s="49" t="e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>#DIV/0!</v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>4.04E+05  (N/A)</v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>
        <f ca="1">AvgThemalFluence(D19)</f>
        <v>404484.31794109981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17" priority="212" stopIfTrue="1">
      <formula>IF(OFFSET($X12,$A12,0)="Yes",TRUE,FALSE)*IF((LEN($C12)&gt;0),TRUE,FALSE)</formula>
    </cfRule>
    <cfRule type="expression" dxfId="116" priority="213" stopIfTrue="1">
      <formula>IF(OFFSET($X12,$A12,0)="Yes",TRUE,FALSE)</formula>
    </cfRule>
    <cfRule type="expression" dxfId="115" priority="215" stopIfTrue="1">
      <formula>IF((LEN($C12)&gt;0),TRUE,FALSE)</formula>
    </cfRule>
  </conditionalFormatting>
  <conditionalFormatting sqref="AJ12:AK14">
    <cfRule type="expression" dxfId="114" priority="265" stopIfTrue="1">
      <formula>IF((LEN($C12)&gt;0),TRUE,FALSE)</formula>
    </cfRule>
  </conditionalFormatting>
  <conditionalFormatting sqref="C5:C6">
    <cfRule type="expression" dxfId="113" priority="168" stopIfTrue="1">
      <formula>$A$3&gt;1</formula>
    </cfRule>
  </conditionalFormatting>
  <conditionalFormatting sqref="C7:C8">
    <cfRule type="expression" dxfId="112" priority="169" stopIfTrue="1">
      <formula>$A$3&gt;1</formula>
    </cfRule>
  </conditionalFormatting>
  <conditionalFormatting sqref="AA7:AD7">
    <cfRule type="expression" dxfId="111" priority="175" stopIfTrue="1">
      <formula>NOT($A$6)</formula>
    </cfRule>
  </conditionalFormatting>
  <conditionalFormatting sqref="AI12:AI14">
    <cfRule type="expression" dxfId="110" priority="222" stopIfTrue="1">
      <formula>NOT($A$6)*(ROW()&lt;ROW(hEpiThermInd)+$A$10/$A$9+1)</formula>
    </cfRule>
    <cfRule type="expression" dxfId="109" priority="223" stopIfTrue="1">
      <formula>IF((LEN($C12)&gt;0),TRUE,FALSE)</formula>
    </cfRule>
  </conditionalFormatting>
  <conditionalFormatting sqref="T7:T8">
    <cfRule type="expression" dxfId="108" priority="174" stopIfTrue="1">
      <formula>IF(A6*(ETRatio=0)+(NOT(A6))*(SUM(IF(OFFSET($AI$11,1,0,$A$10/$A$9,1)=0,1,0))&gt;0),TRUE,FALSE)</formula>
    </cfRule>
  </conditionalFormatting>
  <conditionalFormatting sqref="AA12:AB14">
    <cfRule type="expression" dxfId="107" priority="203" stopIfTrue="1">
      <formula>IF(OFFSET($X12,$A12,0)="No",TRUE,FALSE)*IF((LEN($C12)&gt;0),TRUE,FALSE)</formula>
    </cfRule>
    <cfRule type="expression" dxfId="106" priority="204" stopIfTrue="1">
      <formula>IF(OFFSET($X12,$A12,0)="No",TRUE,FALSE)</formula>
    </cfRule>
    <cfRule type="expression" dxfId="105" priority="206" stopIfTrue="1">
      <formula>IF((LEN($C12)&gt;0),TRUE,FALSE)</formula>
    </cfRule>
  </conditionalFormatting>
  <conditionalFormatting sqref="U12:U14">
    <cfRule type="expression" dxfId="104" priority="186" stopIfTrue="1">
      <formula>IF((LEN($C12)&gt;0),TRUE,FALSE)*IF($U12&lt;=0.1,TRUE,FALSE)</formula>
    </cfRule>
    <cfRule type="cellIs" dxfId="103" priority="187" stopIfTrue="1" operator="lessThanOrEqual">
      <formula>0.1</formula>
    </cfRule>
    <cfRule type="expression" dxfId="102" priority="195" stopIfTrue="1">
      <formula>IF((LEN($C12)&gt;0),TRUE,FALSE)</formula>
    </cfRule>
  </conditionalFormatting>
  <conditionalFormatting sqref="D8">
    <cfRule type="expression" dxfId="101" priority="171" stopIfTrue="1">
      <formula>AND($D$8&lt;1,$D$8&lt;&gt;"")</formula>
    </cfRule>
    <cfRule type="expression" dxfId="100" priority="173" stopIfTrue="1">
      <formula>$A$3&gt;1</formula>
    </cfRule>
  </conditionalFormatting>
  <conditionalFormatting sqref="C4">
    <cfRule type="expression" dxfId="99" priority="166" stopIfTrue="1">
      <formula>$A$3&gt;1</formula>
    </cfRule>
  </conditionalFormatting>
  <conditionalFormatting sqref="E4">
    <cfRule type="expression" dxfId="98" priority="170" stopIfTrue="1">
      <formula>$A$3&gt;1</formula>
    </cfRule>
  </conditionalFormatting>
  <conditionalFormatting sqref="K12:K14">
    <cfRule type="expression" dxfId="97" priority="183" stopIfTrue="1">
      <formula>IF(LEN($C12)=0,TRUE,FALSE)</formula>
    </cfRule>
    <cfRule type="expression" dxfId="96" priority="184" stopIfTrue="1">
      <formula>IF($H12=1,FALSE,IF((LEN($C12)&gt;0)*($H12&lt;&gt;""),TRUE,FALSE))</formula>
    </cfRule>
    <cfRule type="expression" dxfId="95" priority="185" stopIfTrue="1">
      <formula>IF((LEN($C12)&gt;0),TRUE,FALSE)</formula>
    </cfRule>
  </conditionalFormatting>
  <conditionalFormatting sqref="F12:F14">
    <cfRule type="expression" dxfId="94" priority="180" stopIfTrue="1">
      <formula>IF((LEN($C12)&gt;0),TRUE,FALSE)*IF((OFFSET($C12,$A12,0)="LI6(N,A)T")+(OFFSET($C12,$A12,0)="B10(N,A)LI7"),TRUE,FALSE)</formula>
    </cfRule>
    <cfRule type="expression" dxfId="93" priority="181" stopIfTrue="1">
      <formula>IF((OFFSET($C12,$A12,0)="LI6(N,A)T")+(OFFSET($C12,$A12,0)="B10(N,A)LI7"),TRUE,FALSE)</formula>
    </cfRule>
    <cfRule type="expression" dxfId="92" priority="182" stopIfTrue="1">
      <formula>IF((LEN($C12)&gt;0),TRUE,FALSE)</formula>
    </cfRule>
  </conditionalFormatting>
  <conditionalFormatting sqref="AA8:AD8">
    <cfRule type="expression" dxfId="91" priority="176" stopIfTrue="1">
      <formula>$AJ$18&gt;0</formula>
    </cfRule>
  </conditionalFormatting>
  <conditionalFormatting sqref="D7">
    <cfRule type="expression" dxfId="90" priority="172" stopIfTrue="1">
      <formula>$A$3&gt;1</formula>
    </cfRule>
  </conditionalFormatting>
  <conditionalFormatting sqref="C12:D14 G12:J12 S12:T14 V12:V14 Q12:Q14 AG12:AH14 G13:H14 J13:J14 I13:I17">
    <cfRule type="expression" dxfId="89" priority="177" stopIfTrue="1">
      <formula>IF((LEN($C12)&gt;0),TRUE,FALSE)</formula>
    </cfRule>
  </conditionalFormatting>
  <conditionalFormatting sqref="AC12:AC14">
    <cfRule type="expression" dxfId="88" priority="208" stopIfTrue="1">
      <formula>IF(OFFSET($X12,$A12,0)="Yes",TRUE,FALSE)*IF((LEN($C12)&gt;0),TRUE,FALSE)</formula>
    </cfRule>
    <cfRule type="expression" dxfId="87" priority="209" stopIfTrue="1">
      <formula>IF(OFFSET($X12,$A12,0)="Yes",TRUE,FALSE)+IF(LEN($C12)=0,TRUE,FALSE)</formula>
    </cfRule>
    <cfRule type="expression" dxfId="86" priority="210" stopIfTrue="1">
      <formula>IF((LEN($C12)&gt;0),TRUE,FALSE)</formula>
    </cfRule>
  </conditionalFormatting>
  <conditionalFormatting sqref="Y12:Z14">
    <cfRule type="expression" dxfId="85" priority="196" stopIfTrue="1">
      <formula>IF(OFFSET($X12,$A12,0)="No",TRUE,FALSE)*IF((LEN($C12)&gt;0),TRUE,FALSE)</formula>
    </cfRule>
    <cfRule type="expression" dxfId="84" priority="201" stopIfTrue="1">
      <formula>IF(OFFSET($X12,$A12,0)="No",TRUE,FALSE)+IF(LEN($C12)=0,TRUE,FALSE)</formula>
    </cfRule>
    <cfRule type="expression" dxfId="83" priority="202" stopIfTrue="1">
      <formula>IF((LEN($C12)&gt;0),TRUE,FALSE)</formula>
    </cfRule>
  </conditionalFormatting>
  <conditionalFormatting sqref="E12:E14 L12:P14 R12:R14 X12:X14">
    <cfRule type="expression" dxfId="82" priority="178" stopIfTrue="1">
      <formula>IF(LEN($C12)=0,TRUE,FALSE)</formula>
    </cfRule>
    <cfRule type="expression" dxfId="81" priority="179" stopIfTrue="1">
      <formula>IF((LEN($C12)&gt;0),TRUE,FALSE)</formula>
    </cfRule>
  </conditionalFormatting>
  <conditionalFormatting sqref="AD15:AF15">
    <cfRule type="expression" dxfId="80" priority="160" stopIfTrue="1">
      <formula>IF(OFFSET($X15,$A15,0)="Yes",TRUE,FALSE)*IF((LEN($C15)&gt;0),TRUE,FALSE)</formula>
    </cfRule>
    <cfRule type="expression" dxfId="79" priority="161" stopIfTrue="1">
      <formula>IF(OFFSET($X15,$A15,0)="Yes",TRUE,FALSE)</formula>
    </cfRule>
    <cfRule type="expression" dxfId="78" priority="162" stopIfTrue="1">
      <formula>IF((LEN($C15)&gt;0),TRUE,FALSE)</formula>
    </cfRule>
  </conditionalFormatting>
  <conditionalFormatting sqref="AJ15:AK15">
    <cfRule type="expression" dxfId="77" priority="165" stopIfTrue="1">
      <formula>IF((LEN($C15)&gt;0),TRUE,FALSE)</formula>
    </cfRule>
  </conditionalFormatting>
  <conditionalFormatting sqref="AI15">
    <cfRule type="expression" dxfId="76" priority="163" stopIfTrue="1">
      <formula>NOT($A$6)*(ROW()&lt;ROW(hEpiThermInd)+$A$10/$A$9+1)</formula>
    </cfRule>
    <cfRule type="expression" dxfId="75" priority="164" stopIfTrue="1">
      <formula>IF((LEN($C15)&gt;0),TRUE,FALSE)</formula>
    </cfRule>
  </conditionalFormatting>
  <conditionalFormatting sqref="AA15:AB15">
    <cfRule type="expression" dxfId="74" priority="154" stopIfTrue="1">
      <formula>IF(OFFSET($X15,$A15,0)="No",TRUE,FALSE)*IF((LEN($C15)&gt;0),TRUE,FALSE)</formula>
    </cfRule>
    <cfRule type="expression" dxfId="73" priority="155" stopIfTrue="1">
      <formula>IF(OFFSET($X15,$A15,0)="No",TRUE,FALSE)</formula>
    </cfRule>
    <cfRule type="expression" dxfId="72" priority="156" stopIfTrue="1">
      <formula>IF((LEN($C15)&gt;0),TRUE,FALSE)</formula>
    </cfRule>
  </conditionalFormatting>
  <conditionalFormatting sqref="U15">
    <cfRule type="expression" dxfId="71" priority="148" stopIfTrue="1">
      <formula>IF((LEN($C15)&gt;0),TRUE,FALSE)*IF($U15&lt;=0.1,TRUE,FALSE)</formula>
    </cfRule>
    <cfRule type="cellIs" dxfId="70" priority="149" stopIfTrue="1" operator="lessThanOrEqual">
      <formula>0.1</formula>
    </cfRule>
    <cfRule type="expression" dxfId="69" priority="150" stopIfTrue="1">
      <formula>IF((LEN($C15)&gt;0),TRUE,FALSE)</formula>
    </cfRule>
  </conditionalFormatting>
  <conditionalFormatting sqref="K15">
    <cfRule type="expression" dxfId="68" priority="145" stopIfTrue="1">
      <formula>IF(LEN($C15)=0,TRUE,FALSE)</formula>
    </cfRule>
    <cfRule type="expression" dxfId="67" priority="146" stopIfTrue="1">
      <formula>IF($H15=1,FALSE,IF((LEN($C15)&gt;0)*($H15&lt;&gt;""),TRUE,FALSE))</formula>
    </cfRule>
    <cfRule type="expression" dxfId="66" priority="147" stopIfTrue="1">
      <formula>IF((LEN($C15)&gt;0),TRUE,FALSE)</formula>
    </cfRule>
  </conditionalFormatting>
  <conditionalFormatting sqref="F15">
    <cfRule type="expression" dxfId="65" priority="142" stopIfTrue="1">
      <formula>IF((LEN($C15)&gt;0),TRUE,FALSE)*IF((OFFSET($C15,$A15,0)="LI6(N,A)T")+(OFFSET($C15,$A15,0)="B10(N,A)LI7"),TRUE,FALSE)</formula>
    </cfRule>
    <cfRule type="expression" dxfId="64" priority="143" stopIfTrue="1">
      <formula>IF((OFFSET($C15,$A15,0)="LI6(N,A)T")+(OFFSET($C15,$A15,0)="B10(N,A)LI7"),TRUE,FALSE)</formula>
    </cfRule>
    <cfRule type="expression" dxfId="63" priority="144" stopIfTrue="1">
      <formula>IF((LEN($C15)&gt;0),TRUE,FALSE)</formula>
    </cfRule>
  </conditionalFormatting>
  <conditionalFormatting sqref="C15:D15 G15:H15 S15:T15 V15 Q15 AG15:AH15 J15">
    <cfRule type="expression" dxfId="62" priority="139" stopIfTrue="1">
      <formula>IF((LEN($C15)&gt;0),TRUE,FALSE)</formula>
    </cfRule>
  </conditionalFormatting>
  <conditionalFormatting sqref="AC15">
    <cfRule type="expression" dxfId="61" priority="157" stopIfTrue="1">
      <formula>IF(OFFSET($X15,$A15,0)="Yes",TRUE,FALSE)*IF((LEN($C15)&gt;0),TRUE,FALSE)</formula>
    </cfRule>
    <cfRule type="expression" dxfId="60" priority="158" stopIfTrue="1">
      <formula>IF(OFFSET($X15,$A15,0)="Yes",TRUE,FALSE)+IF(LEN($C15)=0,TRUE,FALSE)</formula>
    </cfRule>
    <cfRule type="expression" dxfId="59" priority="159" stopIfTrue="1">
      <formula>IF((LEN($C15)&gt;0),TRUE,FALSE)</formula>
    </cfRule>
  </conditionalFormatting>
  <conditionalFormatting sqref="Y15:Z15">
    <cfRule type="expression" dxfId="58" priority="151" stopIfTrue="1">
      <formula>IF(OFFSET($X15,$A15,0)="No",TRUE,FALSE)*IF((LEN($C15)&gt;0),TRUE,FALSE)</formula>
    </cfRule>
    <cfRule type="expression" dxfId="57" priority="152" stopIfTrue="1">
      <formula>IF(OFFSET($X15,$A15,0)="No",TRUE,FALSE)+IF(LEN($C15)=0,TRUE,FALSE)</formula>
    </cfRule>
    <cfRule type="expression" dxfId="56" priority="153" stopIfTrue="1">
      <formula>IF((LEN($C15)&gt;0),TRUE,FALSE)</formula>
    </cfRule>
  </conditionalFormatting>
  <conditionalFormatting sqref="E15 L15:P15 R15 X15">
    <cfRule type="expression" dxfId="55" priority="140" stopIfTrue="1">
      <formula>IF(LEN($C15)=0,TRUE,FALSE)</formula>
    </cfRule>
    <cfRule type="expression" dxfId="54" priority="141" stopIfTrue="1">
      <formula>IF((LEN($C15)&gt;0),TRUE,FALSE)</formula>
    </cfRule>
  </conditionalFormatting>
  <conditionalFormatting sqref="AD16:AF16">
    <cfRule type="expression" dxfId="53" priority="133" stopIfTrue="1">
      <formula>IF(OFFSET($X16,$A16,0)="Yes",TRUE,FALSE)*IF((LEN($C16)&gt;0),TRUE,FALSE)</formula>
    </cfRule>
    <cfRule type="expression" dxfId="52" priority="134" stopIfTrue="1">
      <formula>IF(OFFSET($X16,$A16,0)="Yes",TRUE,FALSE)</formula>
    </cfRule>
    <cfRule type="expression" dxfId="51" priority="135" stopIfTrue="1">
      <formula>IF((LEN($C16)&gt;0),TRUE,FALSE)</formula>
    </cfRule>
  </conditionalFormatting>
  <conditionalFormatting sqref="AJ16:AK16">
    <cfRule type="expression" dxfId="50" priority="138" stopIfTrue="1">
      <formula>IF((LEN($C16)&gt;0),TRUE,FALSE)</formula>
    </cfRule>
  </conditionalFormatting>
  <conditionalFormatting sqref="AI16">
    <cfRule type="expression" dxfId="49" priority="136" stopIfTrue="1">
      <formula>NOT($A$6)*(ROW()&lt;ROW(hEpiThermInd)+$A$10/$A$9+1)</formula>
    </cfRule>
    <cfRule type="expression" dxfId="48" priority="137" stopIfTrue="1">
      <formula>IF((LEN($C16)&gt;0),TRUE,FALSE)</formula>
    </cfRule>
  </conditionalFormatting>
  <conditionalFormatting sqref="AA16:AB16">
    <cfRule type="expression" dxfId="47" priority="127" stopIfTrue="1">
      <formula>IF(OFFSET($X16,$A16,0)="No",TRUE,FALSE)*IF((LEN($C16)&gt;0),TRUE,FALSE)</formula>
    </cfRule>
    <cfRule type="expression" dxfId="46" priority="128" stopIfTrue="1">
      <formula>IF(OFFSET($X16,$A16,0)="No",TRUE,FALSE)</formula>
    </cfRule>
    <cfRule type="expression" dxfId="45" priority="129" stopIfTrue="1">
      <formula>IF((LEN($C16)&gt;0),TRUE,FALSE)</formula>
    </cfRule>
  </conditionalFormatting>
  <conditionalFormatting sqref="U16">
    <cfRule type="expression" dxfId="44" priority="121" stopIfTrue="1">
      <formula>IF((LEN($C16)&gt;0),TRUE,FALSE)*IF($U16&lt;=0.1,TRUE,FALSE)</formula>
    </cfRule>
    <cfRule type="cellIs" dxfId="43" priority="122" stopIfTrue="1" operator="lessThanOrEqual">
      <formula>0.1</formula>
    </cfRule>
    <cfRule type="expression" dxfId="42" priority="123" stopIfTrue="1">
      <formula>IF((LEN($C16)&gt;0),TRUE,FALSE)</formula>
    </cfRule>
  </conditionalFormatting>
  <conditionalFormatting sqref="K16">
    <cfRule type="expression" dxfId="41" priority="118" stopIfTrue="1">
      <formula>IF(LEN($C16)=0,TRUE,FALSE)</formula>
    </cfRule>
    <cfRule type="expression" dxfId="40" priority="119" stopIfTrue="1">
      <formula>IF($H16=1,FALSE,IF((LEN($C16)&gt;0)*($H16&lt;&gt;""),TRUE,FALSE))</formula>
    </cfRule>
    <cfRule type="expression" dxfId="39" priority="120" stopIfTrue="1">
      <formula>IF((LEN($C16)&gt;0),TRUE,FALSE)</formula>
    </cfRule>
  </conditionalFormatting>
  <conditionalFormatting sqref="F16">
    <cfRule type="expression" dxfId="38" priority="115" stopIfTrue="1">
      <formula>IF((LEN($C16)&gt;0),TRUE,FALSE)*IF((OFFSET($C16,$A16,0)="LI6(N,A)T")+(OFFSET($C16,$A16,0)="B10(N,A)LI7"),TRUE,FALSE)</formula>
    </cfRule>
    <cfRule type="expression" dxfId="37" priority="116" stopIfTrue="1">
      <formula>IF((OFFSET($C16,$A16,0)="LI6(N,A)T")+(OFFSET($C16,$A16,0)="B10(N,A)LI7"),TRUE,FALSE)</formula>
    </cfRule>
    <cfRule type="expression" dxfId="36" priority="117" stopIfTrue="1">
      <formula>IF((LEN($C16)&gt;0),TRUE,FALSE)</formula>
    </cfRule>
  </conditionalFormatting>
  <conditionalFormatting sqref="C16:D16 G16:H16 S16:T16 V16 Q16 AG16:AH16 J16">
    <cfRule type="expression" dxfId="35" priority="112" stopIfTrue="1">
      <formula>IF((LEN($C16)&gt;0),TRUE,FALSE)</formula>
    </cfRule>
  </conditionalFormatting>
  <conditionalFormatting sqref="AC16">
    <cfRule type="expression" dxfId="34" priority="130" stopIfTrue="1">
      <formula>IF(OFFSET($X16,$A16,0)="Yes",TRUE,FALSE)*IF((LEN($C16)&gt;0),TRUE,FALSE)</formula>
    </cfRule>
    <cfRule type="expression" dxfId="33" priority="131" stopIfTrue="1">
      <formula>IF(OFFSET($X16,$A16,0)="Yes",TRUE,FALSE)+IF(LEN($C16)=0,TRUE,FALSE)</formula>
    </cfRule>
    <cfRule type="expression" dxfId="32" priority="132" stopIfTrue="1">
      <formula>IF((LEN($C16)&gt;0),TRUE,FALSE)</formula>
    </cfRule>
  </conditionalFormatting>
  <conditionalFormatting sqref="Y16:Z16">
    <cfRule type="expression" dxfId="31" priority="124" stopIfTrue="1">
      <formula>IF(OFFSET($X16,$A16,0)="No",TRUE,FALSE)*IF((LEN($C16)&gt;0),TRUE,FALSE)</formula>
    </cfRule>
    <cfRule type="expression" dxfId="30" priority="125" stopIfTrue="1">
      <formula>IF(OFFSET($X16,$A16,0)="No",TRUE,FALSE)+IF(LEN($C16)=0,TRUE,FALSE)</formula>
    </cfRule>
    <cfRule type="expression" dxfId="29" priority="126" stopIfTrue="1">
      <formula>IF((LEN($C16)&gt;0),TRUE,FALSE)</formula>
    </cfRule>
  </conditionalFormatting>
  <conditionalFormatting sqref="E16 L16:P16 R16 X16">
    <cfRule type="expression" dxfId="28" priority="113" stopIfTrue="1">
      <formula>IF(LEN($C16)=0,TRUE,FALSE)</formula>
    </cfRule>
    <cfRule type="expression" dxfId="27" priority="114" stopIfTrue="1">
      <formula>IF((LEN($C16)&gt;0),TRUE,FALSE)</formula>
    </cfRule>
  </conditionalFormatting>
  <conditionalFormatting sqref="AD17:AF17">
    <cfRule type="expression" dxfId="26" priority="106" stopIfTrue="1">
      <formula>IF(OFFSET($X17,$A17,0)="Yes",TRUE,FALSE)*IF((LEN($C17)&gt;0),TRUE,FALSE)</formula>
    </cfRule>
    <cfRule type="expression" dxfId="25" priority="107" stopIfTrue="1">
      <formula>IF(OFFSET($X17,$A17,0)="Yes",TRUE,FALSE)</formula>
    </cfRule>
    <cfRule type="expression" dxfId="24" priority="108" stopIfTrue="1">
      <formula>IF((LEN($C17)&gt;0),TRUE,FALSE)</formula>
    </cfRule>
  </conditionalFormatting>
  <conditionalFormatting sqref="AJ17:AK17">
    <cfRule type="expression" dxfId="23" priority="111" stopIfTrue="1">
      <formula>IF((LEN($C17)&gt;0),TRUE,FALSE)</formula>
    </cfRule>
  </conditionalFormatting>
  <conditionalFormatting sqref="AI17">
    <cfRule type="expression" dxfId="22" priority="109" stopIfTrue="1">
      <formula>NOT($A$6)*(ROW()&lt;ROW(hEpiThermInd)+$A$10/$A$9+1)</formula>
    </cfRule>
    <cfRule type="expression" dxfId="21" priority="110" stopIfTrue="1">
      <formula>IF((LEN($C17)&gt;0),TRUE,FALSE)</formula>
    </cfRule>
  </conditionalFormatting>
  <conditionalFormatting sqref="AA17:AB17">
    <cfRule type="expression" dxfId="20" priority="100" stopIfTrue="1">
      <formula>IF(OFFSET($X17,$A17,0)="No",TRUE,FALSE)*IF((LEN($C17)&gt;0),TRUE,FALSE)</formula>
    </cfRule>
    <cfRule type="expression" dxfId="19" priority="101" stopIfTrue="1">
      <formula>IF(OFFSET($X17,$A17,0)="No",TRUE,FALSE)</formula>
    </cfRule>
    <cfRule type="expression" dxfId="18" priority="102" stopIfTrue="1">
      <formula>IF((LEN($C17)&gt;0),TRUE,FALSE)</formula>
    </cfRule>
  </conditionalFormatting>
  <conditionalFormatting sqref="U17">
    <cfRule type="expression" dxfId="17" priority="94" stopIfTrue="1">
      <formula>IF((LEN($C17)&gt;0),TRUE,FALSE)*IF($U17&lt;=0.1,TRUE,FALSE)</formula>
    </cfRule>
    <cfRule type="cellIs" dxfId="16" priority="95" stopIfTrue="1" operator="lessThanOrEqual">
      <formula>0.1</formula>
    </cfRule>
    <cfRule type="expression" dxfId="15" priority="96" stopIfTrue="1">
      <formula>IF((LEN($C17)&gt;0),TRUE,FALSE)</formula>
    </cfRule>
  </conditionalFormatting>
  <conditionalFormatting sqref="K17">
    <cfRule type="expression" dxfId="14" priority="91" stopIfTrue="1">
      <formula>IF(LEN($C17)=0,TRUE,FALSE)</formula>
    </cfRule>
    <cfRule type="expression" dxfId="13" priority="92" stopIfTrue="1">
      <formula>IF($H17=1,FALSE,IF((LEN($C17)&gt;0)*($H17&lt;&gt;""),TRUE,FALSE))</formula>
    </cfRule>
    <cfRule type="expression" dxfId="12" priority="93" stopIfTrue="1">
      <formula>IF((LEN($C17)&gt;0),TRUE,FALSE)</formula>
    </cfRule>
  </conditionalFormatting>
  <conditionalFormatting sqref="F17">
    <cfRule type="expression" dxfId="11" priority="88" stopIfTrue="1">
      <formula>IF((LEN($C17)&gt;0),TRUE,FALSE)*IF((OFFSET($C17,$A17,0)="LI6(N,A)T")+(OFFSET($C17,$A17,0)="B10(N,A)LI7"),TRUE,FALSE)</formula>
    </cfRule>
    <cfRule type="expression" dxfId="10" priority="89" stopIfTrue="1">
      <formula>IF((OFFSET($C17,$A17,0)="LI6(N,A)T")+(OFFSET($C17,$A17,0)="B10(N,A)LI7"),TRUE,FALSE)</formula>
    </cfRule>
    <cfRule type="expression" dxfId="9" priority="90" stopIfTrue="1">
      <formula>IF((LEN($C17)&gt;0),TRUE,FALSE)</formula>
    </cfRule>
  </conditionalFormatting>
  <conditionalFormatting sqref="C17:D17 G17:H17 S17:T17 V17 Q17 AG17:AH17 J17">
    <cfRule type="expression" dxfId="8" priority="85" stopIfTrue="1">
      <formula>IF((LEN($C17)&gt;0),TRUE,FALSE)</formula>
    </cfRule>
  </conditionalFormatting>
  <conditionalFormatting sqref="AC17">
    <cfRule type="expression" dxfId="7" priority="103" stopIfTrue="1">
      <formula>IF(OFFSET($X17,$A17,0)="Yes",TRUE,FALSE)*IF((LEN($C17)&gt;0),TRUE,FALSE)</formula>
    </cfRule>
    <cfRule type="expression" dxfId="6" priority="104" stopIfTrue="1">
      <formula>IF(OFFSET($X17,$A17,0)="Yes",TRUE,FALSE)+IF(LEN($C17)=0,TRUE,FALSE)</formula>
    </cfRule>
    <cfRule type="expression" dxfId="5" priority="105" stopIfTrue="1">
      <formula>IF((LEN($C17)&gt;0),TRUE,FALSE)</formula>
    </cfRule>
  </conditionalFormatting>
  <conditionalFormatting sqref="Y17:Z17">
    <cfRule type="expression" dxfId="4" priority="97" stopIfTrue="1">
      <formula>IF(OFFSET($X17,$A17,0)="No",TRUE,FALSE)*IF((LEN($C17)&gt;0),TRUE,FALSE)</formula>
    </cfRule>
    <cfRule type="expression" dxfId="3" priority="98" stopIfTrue="1">
      <formula>IF(OFFSET($X17,$A17,0)="No",TRUE,FALSE)+IF(LEN($C17)=0,TRUE,FALSE)</formula>
    </cfRule>
    <cfRule type="expression" dxfId="2" priority="99" stopIfTrue="1">
      <formula>IF((LEN($C17)&gt;0),TRUE,FALSE)</formula>
    </cfRule>
  </conditionalFormatting>
  <conditionalFormatting sqref="E17 L17:P17 R17 X17">
    <cfRule type="expression" dxfId="1" priority="86" stopIfTrue="1">
      <formula>IF(LEN($C17)=0,TRUE,FALSE)</formula>
    </cfRule>
    <cfRule type="expression" dxfId="0" priority="87" stopIfTrue="1">
      <formula>IF((LEN($C17)&gt;0),TRUE,FALSE)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2017-12-29T13:01:03Z</dcterms:modified>
</cp:coreProperties>
</file>